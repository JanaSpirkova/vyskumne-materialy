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Janka\Dokumenty\Documents\Alenka\AAI\RELIK 2026\"/>
    </mc:Choice>
  </mc:AlternateContent>
  <xr:revisionPtr revIDLastSave="0" documentId="8_{E1B695CF-143C-4501-966B-5A7F4DD540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ový výpočet" sheetId="3" r:id="rId1"/>
    <sheet name="4.2 HLY kraje_2024_m_ž" sheetId="4" r:id="rId2"/>
  </sheets>
  <definedNames>
    <definedName name="_AMO_UniqueIdentifier" hidden="1">"'6625e133-264f-44e0-acf6-2bae95e8d422'"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8" i="3" l="1"/>
  <c r="C65" i="3"/>
  <c r="C64" i="3"/>
  <c r="C63" i="3"/>
  <c r="C62" i="3"/>
  <c r="C61" i="3"/>
  <c r="C60" i="3"/>
  <c r="C59" i="3"/>
  <c r="C58" i="3"/>
  <c r="B65" i="3"/>
  <c r="B64" i="3"/>
  <c r="B63" i="3"/>
  <c r="B62" i="3"/>
  <c r="B61" i="3"/>
  <c r="B60" i="3"/>
  <c r="B59" i="3"/>
  <c r="B58" i="3"/>
  <c r="AD56" i="3"/>
  <c r="Z57" i="3"/>
  <c r="AD57" i="3"/>
  <c r="Z56" i="3"/>
  <c r="AD39" i="3"/>
  <c r="Z39" i="3"/>
  <c r="AD38" i="3"/>
  <c r="Z38" i="3"/>
  <c r="AH53" i="3"/>
  <c r="AG53" i="3"/>
  <c r="AH52" i="3"/>
  <c r="AG52" i="3"/>
  <c r="AH51" i="3"/>
  <c r="AG51" i="3"/>
  <c r="AH50" i="3"/>
  <c r="AG50" i="3"/>
  <c r="AH49" i="3"/>
  <c r="AG49" i="3"/>
  <c r="AH48" i="3"/>
  <c r="AG48" i="3"/>
  <c r="AH47" i="3"/>
  <c r="AG47" i="3"/>
  <c r="AH46" i="3"/>
  <c r="AG46" i="3"/>
  <c r="AH28" i="3"/>
  <c r="AH35" i="3"/>
  <c r="AG35" i="3"/>
  <c r="AH34" i="3"/>
  <c r="AG34" i="3"/>
  <c r="AH33" i="3"/>
  <c r="AG33" i="3"/>
  <c r="AH32" i="3"/>
  <c r="AG32" i="3"/>
  <c r="AH31" i="3"/>
  <c r="AG31" i="3"/>
  <c r="AH30" i="3"/>
  <c r="AG30" i="3"/>
  <c r="AH29" i="3"/>
  <c r="AG29" i="3"/>
  <c r="AG28" i="3"/>
  <c r="AG15" i="3"/>
  <c r="T365" i="4"/>
  <c r="O370" i="4" s="1"/>
  <c r="P370" i="4" s="1"/>
  <c r="Q370" i="4" s="1"/>
  <c r="T364" i="4"/>
  <c r="T363" i="4"/>
  <c r="T362" i="4"/>
  <c r="T361" i="4"/>
  <c r="T342" i="4"/>
  <c r="O347" i="4" s="1"/>
  <c r="P347" i="4" s="1"/>
  <c r="Q347" i="4" s="1"/>
  <c r="T341" i="4"/>
  <c r="T340" i="4"/>
  <c r="T339" i="4"/>
  <c r="T338" i="4"/>
  <c r="T319" i="4"/>
  <c r="O324" i="4" s="1"/>
  <c r="P324" i="4" s="1"/>
  <c r="Q324" i="4" s="1"/>
  <c r="T318" i="4"/>
  <c r="T317" i="4"/>
  <c r="T316" i="4"/>
  <c r="T315" i="4"/>
  <c r="T296" i="4"/>
  <c r="O301" i="4" s="1"/>
  <c r="P301" i="4" s="1"/>
  <c r="Q301" i="4" s="1"/>
  <c r="T295" i="4"/>
  <c r="T294" i="4"/>
  <c r="T293" i="4"/>
  <c r="T292" i="4"/>
  <c r="T273" i="4"/>
  <c r="O278" i="4" s="1"/>
  <c r="P278" i="4" s="1"/>
  <c r="Q278" i="4" s="1"/>
  <c r="T272" i="4"/>
  <c r="T271" i="4"/>
  <c r="T270" i="4"/>
  <c r="T269" i="4"/>
  <c r="T250" i="4"/>
  <c r="O255" i="4" s="1"/>
  <c r="P255" i="4" s="1"/>
  <c r="Q255" i="4" s="1"/>
  <c r="T249" i="4"/>
  <c r="T248" i="4"/>
  <c r="T247" i="4"/>
  <c r="T246" i="4"/>
  <c r="T227" i="4"/>
  <c r="O232" i="4" s="1"/>
  <c r="P232" i="4" s="1"/>
  <c r="Q232" i="4" s="1"/>
  <c r="T226" i="4"/>
  <c r="T225" i="4"/>
  <c r="R225" i="4"/>
  <c r="R248" i="4" s="1"/>
  <c r="R271" i="4" s="1"/>
  <c r="R294" i="4" s="1"/>
  <c r="R317" i="4" s="1"/>
  <c r="R340" i="4" s="1"/>
  <c r="R363" i="4" s="1"/>
  <c r="T224" i="4"/>
  <c r="T223" i="4"/>
  <c r="T204" i="4"/>
  <c r="O209" i="4" s="1"/>
  <c r="P209" i="4" s="1"/>
  <c r="Q209" i="4" s="1"/>
  <c r="T203" i="4"/>
  <c r="T202" i="4"/>
  <c r="T201" i="4"/>
  <c r="T200" i="4"/>
  <c r="T179" i="4"/>
  <c r="O184" i="4" s="1"/>
  <c r="P184" i="4" s="1"/>
  <c r="Q184" i="4" s="1"/>
  <c r="T178" i="4"/>
  <c r="T177" i="4"/>
  <c r="T176" i="4"/>
  <c r="T175" i="4"/>
  <c r="T156" i="4"/>
  <c r="O161" i="4" s="1"/>
  <c r="P161" i="4" s="1"/>
  <c r="Q161" i="4" s="1"/>
  <c r="T155" i="4"/>
  <c r="T154" i="4"/>
  <c r="T153" i="4"/>
  <c r="T152" i="4"/>
  <c r="T151" i="4"/>
  <c r="T174" i="4" s="1"/>
  <c r="T133" i="4"/>
  <c r="O138" i="4" s="1"/>
  <c r="P138" i="4" s="1"/>
  <c r="Q138" i="4" s="1"/>
  <c r="S133" i="4"/>
  <c r="S156" i="4" s="1"/>
  <c r="S179" i="4" s="1"/>
  <c r="T132" i="4"/>
  <c r="S132" i="4"/>
  <c r="S155" i="4" s="1"/>
  <c r="S178" i="4" s="1"/>
  <c r="T131" i="4"/>
  <c r="S131" i="4"/>
  <c r="S154" i="4" s="1"/>
  <c r="S177" i="4" s="1"/>
  <c r="R131" i="4"/>
  <c r="R154" i="4" s="1"/>
  <c r="R177" i="4" s="1"/>
  <c r="T130" i="4"/>
  <c r="S130" i="4"/>
  <c r="S153" i="4" s="1"/>
  <c r="S176" i="4" s="1"/>
  <c r="T129" i="4"/>
  <c r="S129" i="4"/>
  <c r="S152" i="4" s="1"/>
  <c r="S175" i="4" s="1"/>
  <c r="T110" i="4"/>
  <c r="O115" i="4" s="1"/>
  <c r="P115" i="4" s="1"/>
  <c r="Q115" i="4" s="1"/>
  <c r="T109" i="4"/>
  <c r="T108" i="4"/>
  <c r="T107" i="4"/>
  <c r="T106" i="4"/>
  <c r="T87" i="4"/>
  <c r="O92" i="4" s="1"/>
  <c r="P92" i="4" s="1"/>
  <c r="Q92" i="4" s="1"/>
  <c r="T86" i="4"/>
  <c r="T85" i="4"/>
  <c r="T84" i="4"/>
  <c r="T83" i="4"/>
  <c r="T64" i="4"/>
  <c r="O69" i="4" s="1"/>
  <c r="P69" i="4" s="1"/>
  <c r="Q69" i="4" s="1"/>
  <c r="T63" i="4"/>
  <c r="T62" i="4"/>
  <c r="T61" i="4"/>
  <c r="T60" i="4"/>
  <c r="T41" i="4"/>
  <c r="O46" i="4" s="1"/>
  <c r="P46" i="4" s="1"/>
  <c r="Q46" i="4" s="1"/>
  <c r="T40" i="4"/>
  <c r="T39" i="4"/>
  <c r="T38" i="4"/>
  <c r="T37" i="4"/>
  <c r="T19" i="4"/>
  <c r="O23" i="4" s="1"/>
  <c r="P23" i="4" s="1"/>
  <c r="Q23" i="4" s="1"/>
  <c r="T18" i="4"/>
  <c r="T17" i="4"/>
  <c r="T16" i="4"/>
  <c r="T15" i="4"/>
  <c r="O16" i="4" s="1"/>
  <c r="O15" i="4"/>
  <c r="D53" i="3"/>
  <c r="D52" i="3"/>
  <c r="D51" i="3"/>
  <c r="D50" i="3"/>
  <c r="D49" i="3"/>
  <c r="D48" i="3"/>
  <c r="D47" i="3"/>
  <c r="D35" i="3"/>
  <c r="D34" i="3"/>
  <c r="D33" i="3"/>
  <c r="D32" i="3"/>
  <c r="D31" i="3"/>
  <c r="D30" i="3"/>
  <c r="D29" i="3"/>
  <c r="AH15" i="3"/>
  <c r="AH14" i="3"/>
  <c r="AG14" i="3"/>
  <c r="AH13" i="3"/>
  <c r="AG13" i="3"/>
  <c r="AH12" i="3"/>
  <c r="AG12" i="3"/>
  <c r="AH11" i="3"/>
  <c r="AG11" i="3"/>
  <c r="AH10" i="3"/>
  <c r="AG10" i="3"/>
  <c r="AH9" i="3"/>
  <c r="AG9" i="3"/>
  <c r="AH8" i="3"/>
  <c r="Z19" i="3" l="1"/>
  <c r="AD19" i="3"/>
  <c r="O369" i="4"/>
  <c r="P369" i="4" s="1"/>
  <c r="Q369" i="4" s="1"/>
  <c r="O368" i="4"/>
  <c r="P368" i="4" s="1"/>
  <c r="Q368" i="4" s="1"/>
  <c r="O367" i="4"/>
  <c r="P367" i="4" s="1"/>
  <c r="Q367" i="4" s="1"/>
  <c r="O366" i="4"/>
  <c r="P366" i="4" s="1"/>
  <c r="Q366" i="4" s="1"/>
  <c r="O365" i="4"/>
  <c r="P365" i="4" s="1"/>
  <c r="Q365" i="4" s="1"/>
  <c r="O364" i="4"/>
  <c r="P364" i="4" s="1"/>
  <c r="Q364" i="4" s="1"/>
  <c r="O363" i="4"/>
  <c r="P363" i="4" s="1"/>
  <c r="Q363" i="4" s="1"/>
  <c r="R364" i="4" s="1"/>
  <c r="O362" i="4"/>
  <c r="P362" i="4" s="1"/>
  <c r="O346" i="4"/>
  <c r="P346" i="4" s="1"/>
  <c r="Q346" i="4" s="1"/>
  <c r="O345" i="4"/>
  <c r="P345" i="4" s="1"/>
  <c r="Q345" i="4" s="1"/>
  <c r="O344" i="4"/>
  <c r="P344" i="4" s="1"/>
  <c r="Q344" i="4" s="1"/>
  <c r="O343" i="4"/>
  <c r="P343" i="4" s="1"/>
  <c r="Q343" i="4" s="1"/>
  <c r="O342" i="4"/>
  <c r="P342" i="4" s="1"/>
  <c r="Q342" i="4" s="1"/>
  <c r="O341" i="4"/>
  <c r="P341" i="4" s="1"/>
  <c r="Q341" i="4" s="1"/>
  <c r="O340" i="4"/>
  <c r="P340" i="4" s="1"/>
  <c r="Q340" i="4" s="1"/>
  <c r="R341" i="4" s="1"/>
  <c r="O339" i="4"/>
  <c r="P339" i="4" s="1"/>
  <c r="O323" i="4"/>
  <c r="P323" i="4" s="1"/>
  <c r="Q323" i="4" s="1"/>
  <c r="O322" i="4"/>
  <c r="P322" i="4" s="1"/>
  <c r="Q322" i="4" s="1"/>
  <c r="O320" i="4"/>
  <c r="O321" i="4"/>
  <c r="P321" i="4" s="1"/>
  <c r="Q321" i="4" s="1"/>
  <c r="O318" i="4"/>
  <c r="O319" i="4"/>
  <c r="P319" i="4" s="1"/>
  <c r="Q319" i="4" s="1"/>
  <c r="O317" i="4"/>
  <c r="P317" i="4" s="1"/>
  <c r="Q317" i="4" s="1"/>
  <c r="O316" i="4"/>
  <c r="P316" i="4" s="1"/>
  <c r="O300" i="4"/>
  <c r="P300" i="4" s="1"/>
  <c r="Q300" i="4" s="1"/>
  <c r="O299" i="4"/>
  <c r="P299" i="4" s="1"/>
  <c r="Q299" i="4" s="1"/>
  <c r="O297" i="4"/>
  <c r="O298" i="4"/>
  <c r="P298" i="4" s="1"/>
  <c r="Q298" i="4" s="1"/>
  <c r="O295" i="4"/>
  <c r="O296" i="4"/>
  <c r="P296" i="4" s="1"/>
  <c r="Q296" i="4" s="1"/>
  <c r="O293" i="4"/>
  <c r="O294" i="4"/>
  <c r="P294" i="4" s="1"/>
  <c r="Q294" i="4" s="1"/>
  <c r="O277" i="4"/>
  <c r="P277" i="4" s="1"/>
  <c r="Q277" i="4" s="1"/>
  <c r="O276" i="4"/>
  <c r="O274" i="4"/>
  <c r="O275" i="4"/>
  <c r="O272" i="4"/>
  <c r="O273" i="4"/>
  <c r="O271" i="4"/>
  <c r="O270" i="4"/>
  <c r="O254" i="4"/>
  <c r="P254" i="4" s="1"/>
  <c r="Q254" i="4" s="1"/>
  <c r="O253" i="4"/>
  <c r="P253" i="4" s="1"/>
  <c r="Q253" i="4" s="1"/>
  <c r="O252" i="4"/>
  <c r="P252" i="4" s="1"/>
  <c r="Q252" i="4" s="1"/>
  <c r="O251" i="4"/>
  <c r="P251" i="4" s="1"/>
  <c r="Q251" i="4" s="1"/>
  <c r="O250" i="4"/>
  <c r="P250" i="4" s="1"/>
  <c r="Q250" i="4" s="1"/>
  <c r="O249" i="4"/>
  <c r="P249" i="4" s="1"/>
  <c r="Q249" i="4" s="1"/>
  <c r="O247" i="4"/>
  <c r="O248" i="4"/>
  <c r="P248" i="4" s="1"/>
  <c r="Q248" i="4" s="1"/>
  <c r="R249" i="4" s="1"/>
  <c r="O231" i="4"/>
  <c r="P231" i="4" s="1"/>
  <c r="Q231" i="4" s="1"/>
  <c r="O230" i="4"/>
  <c r="P230" i="4" s="1"/>
  <c r="Q230" i="4" s="1"/>
  <c r="O228" i="4"/>
  <c r="O229" i="4"/>
  <c r="P229" i="4" s="1"/>
  <c r="Q229" i="4" s="1"/>
  <c r="O227" i="4"/>
  <c r="P227" i="4" s="1"/>
  <c r="Q227" i="4" s="1"/>
  <c r="O226" i="4"/>
  <c r="P226" i="4" s="1"/>
  <c r="Q226" i="4" s="1"/>
  <c r="O224" i="4"/>
  <c r="O225" i="4"/>
  <c r="P225" i="4" s="1"/>
  <c r="Q225" i="4" s="1"/>
  <c r="R226" i="4" s="1"/>
  <c r="O207" i="4"/>
  <c r="O208" i="4"/>
  <c r="P208" i="4" s="1"/>
  <c r="Q208" i="4" s="1"/>
  <c r="O205" i="4"/>
  <c r="O206" i="4"/>
  <c r="P206" i="4" s="1"/>
  <c r="Q206" i="4" s="1"/>
  <c r="O203" i="4"/>
  <c r="O204" i="4"/>
  <c r="P204" i="4" s="1"/>
  <c r="Q204" i="4" s="1"/>
  <c r="O201" i="4"/>
  <c r="O202" i="4"/>
  <c r="P202" i="4" s="1"/>
  <c r="Q202" i="4" s="1"/>
  <c r="O182" i="4"/>
  <c r="O183" i="4"/>
  <c r="P183" i="4" s="1"/>
  <c r="Q183" i="4" s="1"/>
  <c r="O181" i="4"/>
  <c r="P181" i="4" s="1"/>
  <c r="Q181" i="4" s="1"/>
  <c r="O180" i="4"/>
  <c r="P180" i="4" s="1"/>
  <c r="Q180" i="4" s="1"/>
  <c r="O179" i="4"/>
  <c r="P179" i="4" s="1"/>
  <c r="Q179" i="4" s="1"/>
  <c r="O178" i="4"/>
  <c r="P178" i="4" s="1"/>
  <c r="Q178" i="4" s="1"/>
  <c r="O177" i="4"/>
  <c r="O176" i="4"/>
  <c r="O160" i="4"/>
  <c r="P160" i="4" s="1"/>
  <c r="Q160" i="4" s="1"/>
  <c r="O159" i="4"/>
  <c r="P159" i="4" s="1"/>
  <c r="Q159" i="4" s="1"/>
  <c r="O157" i="4"/>
  <c r="O158" i="4"/>
  <c r="P158" i="4" s="1"/>
  <c r="Q158" i="4" s="1"/>
  <c r="O155" i="4"/>
  <c r="O156" i="4"/>
  <c r="P156" i="4" s="1"/>
  <c r="Q156" i="4" s="1"/>
  <c r="O153" i="4"/>
  <c r="O154" i="4"/>
  <c r="P154" i="4" s="1"/>
  <c r="Q154" i="4" s="1"/>
  <c r="O137" i="4"/>
  <c r="P137" i="4" s="1"/>
  <c r="Q137" i="4" s="1"/>
  <c r="O136" i="4"/>
  <c r="P136" i="4" s="1"/>
  <c r="Q136" i="4" s="1"/>
  <c r="O135" i="4"/>
  <c r="P135" i="4" s="1"/>
  <c r="Q135" i="4" s="1"/>
  <c r="O134" i="4"/>
  <c r="P134" i="4" s="1"/>
  <c r="Q134" i="4" s="1"/>
  <c r="O132" i="4"/>
  <c r="O133" i="4"/>
  <c r="P133" i="4" s="1"/>
  <c r="Q133" i="4" s="1"/>
  <c r="O130" i="4"/>
  <c r="O131" i="4"/>
  <c r="P131" i="4" s="1"/>
  <c r="Q131" i="4" s="1"/>
  <c r="O113" i="4"/>
  <c r="O114" i="4"/>
  <c r="P114" i="4" s="1"/>
  <c r="Q114" i="4" s="1"/>
  <c r="O111" i="4"/>
  <c r="O112" i="4"/>
  <c r="P112" i="4" s="1"/>
  <c r="Q112" i="4" s="1"/>
  <c r="O110" i="4"/>
  <c r="P110" i="4" s="1"/>
  <c r="Q110" i="4" s="1"/>
  <c r="O109" i="4"/>
  <c r="P109" i="4" s="1"/>
  <c r="Q109" i="4" s="1"/>
  <c r="O107" i="4"/>
  <c r="O108" i="4"/>
  <c r="P108" i="4" s="1"/>
  <c r="Q108" i="4" s="1"/>
  <c r="R109" i="4" s="1"/>
  <c r="O91" i="4"/>
  <c r="P91" i="4" s="1"/>
  <c r="Q91" i="4" s="1"/>
  <c r="O90" i="4"/>
  <c r="P90" i="4" s="1"/>
  <c r="Q90" i="4" s="1"/>
  <c r="O88" i="4"/>
  <c r="O89" i="4"/>
  <c r="P89" i="4" s="1"/>
  <c r="Q89" i="4" s="1"/>
  <c r="O86" i="4"/>
  <c r="O87" i="4"/>
  <c r="P87" i="4" s="1"/>
  <c r="Q87" i="4" s="1"/>
  <c r="O84" i="4"/>
  <c r="O85" i="4"/>
  <c r="P85" i="4" s="1"/>
  <c r="Q85" i="4" s="1"/>
  <c r="O67" i="4"/>
  <c r="O68" i="4"/>
  <c r="P68" i="4" s="1"/>
  <c r="Q68" i="4" s="1"/>
  <c r="O66" i="4"/>
  <c r="P66" i="4" s="1"/>
  <c r="Q66" i="4" s="1"/>
  <c r="O65" i="4"/>
  <c r="P65" i="4" s="1"/>
  <c r="Q65" i="4" s="1"/>
  <c r="O64" i="4"/>
  <c r="P64" i="4" s="1"/>
  <c r="Q64" i="4" s="1"/>
  <c r="O63" i="4"/>
  <c r="P63" i="4" s="1"/>
  <c r="Q63" i="4" s="1"/>
  <c r="O62" i="4"/>
  <c r="P62" i="4" s="1"/>
  <c r="Q62" i="4" s="1"/>
  <c r="R63" i="4" s="1"/>
  <c r="O61" i="4"/>
  <c r="P61" i="4" s="1"/>
  <c r="O44" i="4"/>
  <c r="O45" i="4"/>
  <c r="P45" i="4" s="1"/>
  <c r="Q45" i="4" s="1"/>
  <c r="O43" i="4"/>
  <c r="P43" i="4" s="1"/>
  <c r="Q43" i="4" s="1"/>
  <c r="O42" i="4"/>
  <c r="P42" i="4" s="1"/>
  <c r="Q42" i="4" s="1"/>
  <c r="O40" i="4"/>
  <c r="P40" i="4" s="1"/>
  <c r="Q40" i="4" s="1"/>
  <c r="O41" i="4"/>
  <c r="P41" i="4" s="1"/>
  <c r="Q41" i="4" s="1"/>
  <c r="O39" i="4"/>
  <c r="P39" i="4" s="1"/>
  <c r="Q39" i="4" s="1"/>
  <c r="R40" i="4" s="1"/>
  <c r="O38" i="4"/>
  <c r="P38" i="4" s="1"/>
  <c r="Q38" i="4" s="1"/>
  <c r="O22" i="4"/>
  <c r="P22" i="4" s="1"/>
  <c r="Q22" i="4" s="1"/>
  <c r="O21" i="4"/>
  <c r="P21" i="4" s="1"/>
  <c r="Q21" i="4" s="1"/>
  <c r="O19" i="4"/>
  <c r="O20" i="4"/>
  <c r="P20" i="4" s="1"/>
  <c r="Q20" i="4" s="1"/>
  <c r="O17" i="4"/>
  <c r="O18" i="4"/>
  <c r="P18" i="4" s="1"/>
  <c r="Q18" i="4" s="1"/>
  <c r="AD18" i="3"/>
  <c r="Z18" i="3"/>
  <c r="P276" i="4" l="1"/>
  <c r="Q276" i="4" s="1"/>
  <c r="P274" i="4"/>
  <c r="Q274" i="4" s="1"/>
  <c r="P67" i="4"/>
  <c r="Q67" i="4" s="1"/>
  <c r="P15" i="4"/>
  <c r="Q15" i="4" s="1"/>
  <c r="P16" i="4"/>
  <c r="Q16" i="4" s="1"/>
  <c r="P17" i="4"/>
  <c r="Q17" i="4" s="1"/>
  <c r="P320" i="4"/>
  <c r="Q320" i="4" s="1"/>
  <c r="P318" i="4"/>
  <c r="Q318" i="4" s="1"/>
  <c r="R318" i="4" s="1"/>
  <c r="P297" i="4"/>
  <c r="Q297" i="4" s="1"/>
  <c r="P295" i="4"/>
  <c r="Q295" i="4" s="1"/>
  <c r="R295" i="4" s="1"/>
  <c r="P293" i="4"/>
  <c r="P275" i="4"/>
  <c r="Q275" i="4" s="1"/>
  <c r="P272" i="4"/>
  <c r="Q272" i="4" s="1"/>
  <c r="P273" i="4"/>
  <c r="Q273" i="4" s="1"/>
  <c r="P271" i="4"/>
  <c r="Q271" i="4" s="1"/>
  <c r="P270" i="4"/>
  <c r="P247" i="4"/>
  <c r="P228" i="4"/>
  <c r="Q228" i="4" s="1"/>
  <c r="P224" i="4"/>
  <c r="P207" i="4"/>
  <c r="Q207" i="4" s="1"/>
  <c r="P205" i="4"/>
  <c r="Q205" i="4" s="1"/>
  <c r="P203" i="4"/>
  <c r="Q203" i="4" s="1"/>
  <c r="R203" i="4" s="1"/>
  <c r="P201" i="4"/>
  <c r="P182" i="4"/>
  <c r="Q182" i="4" s="1"/>
  <c r="P44" i="4"/>
  <c r="Q44" i="4" s="1"/>
  <c r="P19" i="4"/>
  <c r="Q19" i="4" s="1"/>
  <c r="P177" i="4"/>
  <c r="Q177" i="4" s="1"/>
  <c r="R178" i="4" s="1"/>
  <c r="P176" i="4"/>
  <c r="P157" i="4"/>
  <c r="Q157" i="4" s="1"/>
  <c r="P155" i="4"/>
  <c r="Q155" i="4" s="1"/>
  <c r="R155" i="4" s="1"/>
  <c r="P153" i="4"/>
  <c r="P132" i="4"/>
  <c r="Q132" i="4" s="1"/>
  <c r="R132" i="4" s="1"/>
  <c r="P130" i="4"/>
  <c r="P113" i="4"/>
  <c r="Q113" i="4" s="1"/>
  <c r="P111" i="4"/>
  <c r="Q111" i="4" s="1"/>
  <c r="P107" i="4"/>
  <c r="P88" i="4"/>
  <c r="Q88" i="4" s="1"/>
  <c r="P86" i="4"/>
  <c r="Q86" i="4" s="1"/>
  <c r="R86" i="4" s="1"/>
  <c r="P84" i="4"/>
  <c r="R272" i="4" l="1"/>
  <c r="R17" i="4"/>
</calcChain>
</file>

<file path=xl/sharedStrings.xml><?xml version="1.0" encoding="utf-8"?>
<sst xmlns="http://schemas.openxmlformats.org/spreadsheetml/2006/main" count="838" uniqueCount="82">
  <si>
    <t>Tab.1: Podiel osôb, ktorí neboli obmedzovaní kvôli zdravotnému problému v činnostiach, ktoré bežne vykonávajú, podľa krajov SR, EU SILC 2024</t>
  </si>
  <si>
    <t>Nepriama kalibrácia koeficientu geometrického poklesu pomocou váženého priemeru</t>
  </si>
  <si>
    <t>Scenár: podiel vo veku 85+ = 0 %</t>
  </si>
  <si>
    <t>Scenár: podiel vo veku 85+ = 2,5 %</t>
  </si>
  <si>
    <t>Scenár: podiel vo veku 85+ = 5 %</t>
  </si>
  <si>
    <r>
      <rPr>
        <b/>
        <sz val="11"/>
        <color rgb="FFFF0000"/>
        <rFont val="Arial"/>
        <family val="2"/>
      </rPr>
      <t>Vôbec neobmedzovaný</t>
    </r>
    <r>
      <rPr>
        <b/>
        <sz val="11"/>
        <rFont val="Arial"/>
        <family val="2"/>
      </rPr>
      <t xml:space="preserve">
Kraj</t>
    </r>
  </si>
  <si>
    <t>Podiel (v %) - 
Osoby vo veku</t>
  </si>
  <si>
    <t>Vôbec neobmedzovaný</t>
  </si>
  <si>
    <t>Podiel (v %) – osoby vo veku</t>
  </si>
  <si>
    <t>5% oproti 0%</t>
  </si>
  <si>
    <t xml:space="preserve">45-54 </t>
  </si>
  <si>
    <t xml:space="preserve">55-64 </t>
  </si>
  <si>
    <t>65-74</t>
  </si>
  <si>
    <t>75-84</t>
  </si>
  <si>
    <t>85+</t>
  </si>
  <si>
    <t>55+</t>
  </si>
  <si>
    <t>45–54</t>
  </si>
  <si>
    <t>55–64</t>
  </si>
  <si>
    <t>65–74</t>
  </si>
  <si>
    <t>75–84</t>
  </si>
  <si>
    <t>Kraj</t>
  </si>
  <si>
    <t>SR</t>
  </si>
  <si>
    <t>Bratislavský kraj</t>
  </si>
  <si>
    <t>Trnavský kraj</t>
  </si>
  <si>
    <t>Trenčiansky kraj</t>
  </si>
  <si>
    <t>Nitriansky kraj</t>
  </si>
  <si>
    <t>Žilinský kraj</t>
  </si>
  <si>
    <t>Banskobystrický kraj</t>
  </si>
  <si>
    <t>Prešovský kraj</t>
  </si>
  <si>
    <t>Košický kraj</t>
  </si>
  <si>
    <t>Priemerná absolútna zmena</t>
  </si>
  <si>
    <t>maximálna zmena</t>
  </si>
  <si>
    <t>veková skupina</t>
  </si>
  <si>
    <t>priemerná absolútna zmena</t>
  </si>
  <si>
    <t>Tab.2: Podiel mužov, ktorí neboli obmedzovaní kvôli zdravotnému problému v činnostiach, ktoré bežne vykonávajú, podľa krajov SR, EU SILC 2024</t>
  </si>
  <si>
    <t>Podiel (v %) - 
Muži vo veku</t>
  </si>
  <si>
    <t>Podiel (v %) – muži vo veku</t>
  </si>
  <si>
    <r>
      <t xml:space="preserve">r_T=y_(75-84)/y_(65-74) </t>
    </r>
    <r>
      <rPr>
        <sz val="11"/>
        <color rgb="FF7030A0"/>
        <rFont val="Calibri"/>
        <family val="2"/>
        <scheme val="minor"/>
      </rPr>
      <t>=</t>
    </r>
    <r>
      <rPr>
        <sz val="11"/>
        <color rgb="FF7030A0"/>
        <rFont val="Cambria Math"/>
        <family val="1"/>
      </rPr>
      <t>18,7/38,8</t>
    </r>
    <r>
      <rPr>
        <sz val="11"/>
        <color rgb="FF7030A0"/>
        <rFont val="Calibri"/>
        <family val="2"/>
        <scheme val="minor"/>
      </rPr>
      <t>=0,48196</t>
    </r>
  </si>
  <si>
    <t>Tab.3: Podiel žien, ktoré neboli obmedzované kvôli zdravotnému problému v činnostiach, ktoré bežne vykonávajú, podľa krajov SR, EU SILC 2024</t>
  </si>
  <si>
    <t>Podiel (v %) - 
Ženy vo veku</t>
  </si>
  <si>
    <t>Podiel (v %) – ženy vo veku</t>
  </si>
  <si>
    <t>Muži</t>
  </si>
  <si>
    <t>Počet obyvateľov k 31. 12.</t>
  </si>
  <si>
    <t>Počet zomretých v roku</t>
  </si>
  <si>
    <t>Obdobie: 2024</t>
  </si>
  <si>
    <t>Healthy</t>
  </si>
  <si>
    <t>qx</t>
  </si>
  <si>
    <t>lx</t>
  </si>
  <si>
    <t>dx</t>
  </si>
  <si>
    <t>L*x</t>
  </si>
  <si>
    <t>Tx</t>
  </si>
  <si>
    <t>ex</t>
  </si>
  <si>
    <t>nLx</t>
  </si>
  <si>
    <t>HLEx</t>
  </si>
  <si>
    <t>0</t>
  </si>
  <si>
    <t>1-4</t>
  </si>
  <si>
    <t>5-9</t>
  </si>
  <si>
    <t>10-14</t>
  </si>
  <si>
    <t>15-19</t>
  </si>
  <si>
    <t>20-24</t>
  </si>
  <si>
    <t>25-29</t>
  </si>
  <si>
    <t>30-34</t>
  </si>
  <si>
    <t>35-39</t>
  </si>
  <si>
    <r>
      <t>keby sa pre vek od 55 rokov počítalo s nasledujúcimi konštantami 1-</t>
    </r>
    <r>
      <rPr>
        <sz val="10"/>
        <color theme="1"/>
        <rFont val="Aptos Narrow"/>
        <family val="2"/>
      </rPr>
      <t>π</t>
    </r>
    <r>
      <rPr>
        <sz val="10"/>
        <color theme="1"/>
        <rFont val="Aptos Narrow"/>
        <family val="2"/>
      </rPr>
      <t>x</t>
    </r>
  </si>
  <si>
    <t>40-44</t>
  </si>
  <si>
    <r>
      <t>1-</t>
    </r>
    <r>
      <rPr>
        <sz val="10"/>
        <rFont val="Aptos Narrow"/>
        <family val="2"/>
      </rPr>
      <t>π</t>
    </r>
    <r>
      <rPr>
        <sz val="10"/>
        <rFont val="Arial"/>
        <family val="2"/>
      </rPr>
      <t>x</t>
    </r>
  </si>
  <si>
    <t>45-49</t>
  </si>
  <si>
    <t>45-54</t>
  </si>
  <si>
    <t>50-54</t>
  </si>
  <si>
    <t>AAI 4.2</t>
  </si>
  <si>
    <t>55-64</t>
  </si>
  <si>
    <t>55-59</t>
  </si>
  <si>
    <t>60-64</t>
  </si>
  <si>
    <t>65-69</t>
  </si>
  <si>
    <t>70-74</t>
  </si>
  <si>
    <t>75-79</t>
  </si>
  <si>
    <t>80-84</t>
  </si>
  <si>
    <t xml:space="preserve"> </t>
  </si>
  <si>
    <t>Ženy</t>
  </si>
  <si>
    <t>1-πx</t>
  </si>
  <si>
    <t>HLY</t>
  </si>
  <si>
    <t xml:space="preserve"> Ženy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</si>
</sst>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000_ ;[Red]\-0.000000\ "/>
    <numFmt numFmtId="166" formatCode="0.000000"/>
    <numFmt numFmtId="167" formatCode="0.000"/>
  </numFmts>
  <fonts count="44">
    <font>
      <sz val="11"/>
      <color theme="1"/>
      <name val="Aptos Narrow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name val="Carlito"/>
    </font>
    <font>
      <i/>
      <sz val="9"/>
      <color rgb="FF5B6573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rgb="FF00B050"/>
      <name val="Aptos Narrow"/>
      <family val="2"/>
    </font>
    <font>
      <b/>
      <sz val="11"/>
      <color rgb="FF00B050"/>
      <name val="Arial"/>
      <family val="2"/>
    </font>
    <font>
      <sz val="10"/>
      <name val="MS Sans Serif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1"/>
      <color theme="7" tint="-0.249977111117893"/>
      <name val="Arial"/>
      <family val="2"/>
    </font>
    <font>
      <b/>
      <sz val="11"/>
      <color rgb="FF0070C0"/>
      <name val="Arial"/>
      <family val="2"/>
    </font>
    <font>
      <sz val="11"/>
      <color rgb="FFFF0000"/>
      <name val="Arial"/>
      <family val="2"/>
    </font>
    <font>
      <sz val="11"/>
      <color theme="7" tint="-0.249977111117893"/>
      <name val="Arial"/>
      <family val="2"/>
    </font>
    <font>
      <sz val="11"/>
      <color rgb="FF0070C0"/>
      <name val="Arial"/>
      <family val="2"/>
    </font>
    <font>
      <b/>
      <sz val="12"/>
      <color rgb="FF7030A0"/>
      <name val="Arial"/>
      <family val="2"/>
    </font>
    <font>
      <sz val="11"/>
      <color rgb="FF7030A0"/>
      <name val="Cambria Math"/>
      <family val="1"/>
    </font>
    <font>
      <b/>
      <sz val="11"/>
      <color theme="5" tint="-0.249977111117893"/>
      <name val="Arial"/>
      <family val="2"/>
    </font>
    <font>
      <b/>
      <sz val="12"/>
      <color rgb="FFFF0000"/>
      <name val="Arial"/>
      <family val="2"/>
    </font>
    <font>
      <b/>
      <sz val="10"/>
      <color rgb="FF375623"/>
      <name val="Arial"/>
      <family val="2"/>
    </font>
    <font>
      <b/>
      <sz val="9"/>
      <color rgb="FF1F2937"/>
      <name val="Arial"/>
      <family val="2"/>
    </font>
    <font>
      <b/>
      <sz val="9"/>
      <color rgb="FFC00000"/>
      <name val="Arial"/>
      <family val="2"/>
    </font>
    <font>
      <sz val="9"/>
      <color rgb="FF1F2937"/>
      <name val="Arial"/>
      <family val="2"/>
    </font>
    <font>
      <b/>
      <i/>
      <sz val="9"/>
      <color rgb="FF5B6573"/>
      <name val="Arial"/>
      <family val="2"/>
    </font>
    <font>
      <sz val="11"/>
      <color rgb="FF7030A0"/>
      <name val="Calibri"/>
      <family val="2"/>
      <scheme val="minor"/>
    </font>
    <font>
      <sz val="11"/>
      <name val="Carlito"/>
    </font>
    <font>
      <b/>
      <sz val="10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sz val="10"/>
      <color rgb="FF454545"/>
      <name val="Arial"/>
      <family val="2"/>
    </font>
    <font>
      <sz val="10"/>
      <color theme="1"/>
      <name val="Aptos Narrow"/>
      <family val="2"/>
    </font>
    <font>
      <sz val="10"/>
      <name val="Aptos Narrow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color theme="1"/>
      <name val="Aptos Narrow"/>
      <family val="2"/>
    </font>
    <font>
      <sz val="11"/>
      <color theme="1"/>
      <name val="Arial"/>
      <family val="2"/>
      <charset val="238"/>
    </font>
    <font>
      <sz val="12"/>
      <color theme="1"/>
      <name val="Arial"/>
      <family val="2"/>
      <charset val="238"/>
    </font>
    <font>
      <b/>
      <sz val="11"/>
      <color theme="1"/>
      <name val="Arial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4" tint="0.59993285927915285"/>
        <bgColor indexed="65"/>
      </patternFill>
    </fill>
    <fill>
      <patternFill patternType="solid">
        <fgColor theme="2"/>
      </patternFill>
    </fill>
    <fill>
      <patternFill patternType="solid">
        <fgColor theme="0"/>
      </patternFill>
    </fill>
    <fill>
      <patternFill patternType="solid">
        <fgColor rgb="FFE2F0D9"/>
      </patternFill>
    </fill>
    <fill>
      <patternFill patternType="solid">
        <fgColor rgb="FFD9D9D9"/>
      </patternFill>
    </fill>
    <fill>
      <patternFill patternType="solid">
        <fgColor rgb="FFB7DEE8"/>
      </patternFill>
    </fill>
    <fill>
      <patternFill patternType="solid">
        <fgColor rgb="FF83C5E3"/>
      </patternFill>
    </fill>
    <fill>
      <patternFill patternType="solid">
        <fgColor rgb="FFFFFF00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C000"/>
      </patternFill>
    </fill>
    <fill>
      <patternFill patternType="solid">
        <fgColor theme="4" tint="0.59996337778862885"/>
        <bgColor indexed="65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/>
      <right/>
      <top/>
      <bottom style="thin">
        <color rgb="FF666666"/>
      </bottom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0" fontId="4" fillId="0" borderId="0"/>
    <xf numFmtId="0" fontId="11" fillId="0" borderId="0"/>
    <xf numFmtId="0" fontId="29" fillId="0" borderId="0"/>
    <xf numFmtId="0" fontId="7" fillId="0" borderId="0"/>
    <xf numFmtId="0" fontId="1" fillId="0" borderId="0"/>
  </cellStyleXfs>
  <cellXfs count="157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4" fillId="0" borderId="0" xfId="0" applyFont="1"/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5" fillId="0" borderId="0" xfId="0" applyFont="1"/>
    <xf numFmtId="0" fontId="8" fillId="0" borderId="0" xfId="0" applyFont="1" applyAlignment="1">
      <alignment horizontal="center"/>
    </xf>
    <xf numFmtId="164" fontId="8" fillId="0" borderId="0" xfId="0" applyNumberFormat="1" applyFont="1"/>
    <xf numFmtId="164" fontId="17" fillId="0" borderId="0" xfId="1" applyNumberFormat="1" applyFont="1" applyFill="1"/>
    <xf numFmtId="164" fontId="18" fillId="0" borderId="0" xfId="1" applyNumberFormat="1" applyFont="1"/>
    <xf numFmtId="164" fontId="17" fillId="0" borderId="0" xfId="1" applyNumberFormat="1" applyFont="1"/>
    <xf numFmtId="164" fontId="18" fillId="0" borderId="0" xfId="1" applyNumberFormat="1" applyFont="1" applyFill="1"/>
    <xf numFmtId="164" fontId="17" fillId="0" borderId="0" xfId="0" applyNumberFormat="1" applyFont="1"/>
    <xf numFmtId="164" fontId="8" fillId="0" borderId="0" xfId="1" applyNumberFormat="1" applyFont="1" applyFill="1"/>
    <xf numFmtId="0" fontId="8" fillId="5" borderId="0" xfId="0" applyFont="1" applyFill="1"/>
    <xf numFmtId="9" fontId="8" fillId="5" borderId="0" xfId="1" applyFont="1" applyFill="1"/>
    <xf numFmtId="0" fontId="19" fillId="0" borderId="0" xfId="0" applyFont="1"/>
    <xf numFmtId="0" fontId="8" fillId="0" borderId="0" xfId="3" applyFont="1" applyAlignment="1">
      <alignment horizontal="left" vertical="center"/>
    </xf>
    <xf numFmtId="164" fontId="8" fillId="0" borderId="0" xfId="1" applyNumberFormat="1" applyFont="1" applyFill="1" applyBorder="1" applyAlignment="1">
      <alignment vertical="center"/>
    </xf>
    <xf numFmtId="0" fontId="20" fillId="0" borderId="0" xfId="0" applyFont="1"/>
    <xf numFmtId="164" fontId="8" fillId="3" borderId="16" xfId="0" applyNumberFormat="1" applyFont="1" applyFill="1" applyBorder="1"/>
    <xf numFmtId="0" fontId="3" fillId="0" borderId="0" xfId="0" applyFont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right" vertical="center" wrapText="1"/>
    </xf>
    <xf numFmtId="0" fontId="22" fillId="0" borderId="0" xfId="0" applyFont="1"/>
    <xf numFmtId="0" fontId="24" fillId="7" borderId="19" xfId="0" applyFont="1" applyFill="1" applyBorder="1" applyAlignment="1">
      <alignment horizontal="center" vertical="center" wrapText="1"/>
    </xf>
    <xf numFmtId="0" fontId="24" fillId="9" borderId="19" xfId="0" applyFont="1" applyFill="1" applyBorder="1" applyAlignment="1">
      <alignment horizontal="center" vertical="center" wrapText="1"/>
    </xf>
    <xf numFmtId="164" fontId="12" fillId="4" borderId="10" xfId="0" applyNumberFormat="1" applyFont="1" applyFill="1" applyBorder="1" applyAlignment="1">
      <alignment vertical="center"/>
    </xf>
    <xf numFmtId="164" fontId="13" fillId="0" borderId="10" xfId="0" applyNumberFormat="1" applyFont="1" applyBorder="1" applyAlignment="1">
      <alignment vertical="center"/>
    </xf>
    <xf numFmtId="164" fontId="12" fillId="0" borderId="10" xfId="0" applyNumberFormat="1" applyFont="1" applyBorder="1" applyAlignment="1">
      <alignment vertical="center"/>
    </xf>
    <xf numFmtId="164" fontId="12" fillId="3" borderId="10" xfId="0" applyNumberFormat="1" applyFont="1" applyFill="1" applyBorder="1" applyAlignment="1">
      <alignment vertical="center"/>
    </xf>
    <xf numFmtId="164" fontId="8" fillId="4" borderId="11" xfId="0" applyNumberFormat="1" applyFont="1" applyFill="1" applyBorder="1" applyAlignment="1">
      <alignment vertical="center"/>
    </xf>
    <xf numFmtId="164" fontId="13" fillId="0" borderId="11" xfId="0" applyNumberFormat="1" applyFont="1" applyBorder="1" applyAlignment="1">
      <alignment vertical="center"/>
    </xf>
    <xf numFmtId="164" fontId="10" fillId="3" borderId="11" xfId="0" applyNumberFormat="1" applyFont="1" applyFill="1" applyBorder="1" applyAlignment="1">
      <alignment vertical="center"/>
    </xf>
    <xf numFmtId="164" fontId="10" fillId="0" borderId="0" xfId="0" applyNumberFormat="1" applyFont="1"/>
    <xf numFmtId="164" fontId="10" fillId="0" borderId="11" xfId="0" applyNumberFormat="1" applyFont="1" applyBorder="1" applyAlignment="1">
      <alignment vertical="center"/>
    </xf>
    <xf numFmtId="164" fontId="8" fillId="3" borderId="11" xfId="0" applyNumberFormat="1" applyFont="1" applyFill="1" applyBorder="1" applyAlignment="1">
      <alignment vertical="center"/>
    </xf>
    <xf numFmtId="164" fontId="8" fillId="4" borderId="12" xfId="0" applyNumberFormat="1" applyFont="1" applyFill="1" applyBorder="1" applyAlignment="1">
      <alignment vertical="center"/>
    </xf>
    <xf numFmtId="164" fontId="13" fillId="0" borderId="12" xfId="0" applyNumberFormat="1" applyFont="1" applyBorder="1" applyAlignment="1">
      <alignment vertical="center"/>
    </xf>
    <xf numFmtId="164" fontId="10" fillId="3" borderId="12" xfId="0" applyNumberFormat="1" applyFont="1" applyFill="1" applyBorder="1" applyAlignment="1">
      <alignment vertical="center"/>
    </xf>
    <xf numFmtId="164" fontId="10" fillId="0" borderId="12" xfId="0" applyNumberFormat="1" applyFont="1" applyBorder="1" applyAlignment="1">
      <alignment vertical="center"/>
    </xf>
    <xf numFmtId="164" fontId="8" fillId="3" borderId="12" xfId="0" applyNumberFormat="1" applyFont="1" applyFill="1" applyBorder="1" applyAlignment="1">
      <alignment vertical="center"/>
    </xf>
    <xf numFmtId="164" fontId="16" fillId="0" borderId="12" xfId="0" applyNumberFormat="1" applyFont="1" applyBorder="1" applyAlignment="1">
      <alignment vertical="center"/>
    </xf>
    <xf numFmtId="164" fontId="0" fillId="0" borderId="0" xfId="0" applyNumberFormat="1"/>
    <xf numFmtId="164" fontId="8" fillId="0" borderId="12" xfId="0" applyNumberFormat="1" applyFont="1" applyBorder="1" applyAlignment="1">
      <alignment vertical="center"/>
    </xf>
    <xf numFmtId="164" fontId="8" fillId="4" borderId="14" xfId="0" applyNumberFormat="1" applyFont="1" applyFill="1" applyBorder="1" applyAlignment="1">
      <alignment vertical="center"/>
    </xf>
    <xf numFmtId="164" fontId="16" fillId="0" borderId="14" xfId="0" applyNumberFormat="1" applyFont="1" applyBorder="1" applyAlignment="1">
      <alignment vertical="center"/>
    </xf>
    <xf numFmtId="164" fontId="8" fillId="3" borderId="14" xfId="0" applyNumberFormat="1" applyFont="1" applyFill="1" applyBorder="1" applyAlignment="1">
      <alignment vertical="center"/>
    </xf>
    <xf numFmtId="164" fontId="8" fillId="0" borderId="14" xfId="0" applyNumberFormat="1" applyFont="1" applyBorder="1" applyAlignment="1">
      <alignment vertical="center"/>
    </xf>
    <xf numFmtId="164" fontId="26" fillId="0" borderId="20" xfId="0" applyNumberFormat="1" applyFont="1" applyBorder="1" applyAlignment="1">
      <alignment horizontal="right" vertical="center"/>
    </xf>
    <xf numFmtId="164" fontId="26" fillId="8" borderId="20" xfId="0" applyNumberFormat="1" applyFont="1" applyFill="1" applyBorder="1" applyAlignment="1">
      <alignment horizontal="right" vertical="center"/>
    </xf>
    <xf numFmtId="164" fontId="24" fillId="9" borderId="20" xfId="0" applyNumberFormat="1" applyFont="1" applyFill="1" applyBorder="1" applyAlignment="1">
      <alignment horizontal="right" vertical="center"/>
    </xf>
    <xf numFmtId="164" fontId="8" fillId="0" borderId="11" xfId="0" applyNumberFormat="1" applyFont="1" applyBorder="1" applyAlignment="1">
      <alignment vertical="center"/>
    </xf>
    <xf numFmtId="164" fontId="16" fillId="0" borderId="15" xfId="0" applyNumberFormat="1" applyFont="1" applyBorder="1" applyAlignment="1">
      <alignment vertical="center"/>
    </xf>
    <xf numFmtId="164" fontId="16" fillId="0" borderId="17" xfId="0" applyNumberFormat="1" applyFont="1" applyBorder="1" applyAlignment="1">
      <alignment vertical="center"/>
    </xf>
    <xf numFmtId="164" fontId="8" fillId="3" borderId="13" xfId="0" applyNumberFormat="1" applyFont="1" applyFill="1" applyBorder="1" applyAlignment="1">
      <alignment vertical="center"/>
    </xf>
    <xf numFmtId="164" fontId="16" fillId="0" borderId="18" xfId="0" applyNumberFormat="1" applyFont="1" applyBorder="1" applyAlignment="1">
      <alignment vertical="center"/>
    </xf>
    <xf numFmtId="49" fontId="12" fillId="0" borderId="10" xfId="0" applyNumberFormat="1" applyFont="1" applyBorder="1" applyAlignment="1">
      <alignment horizontal="left" vertical="center"/>
    </xf>
    <xf numFmtId="49" fontId="8" fillId="0" borderId="11" xfId="0" applyNumberFormat="1" applyFont="1" applyBorder="1" applyAlignment="1">
      <alignment horizontal="left" vertical="center"/>
    </xf>
    <xf numFmtId="49" fontId="8" fillId="0" borderId="12" xfId="0" applyNumberFormat="1" applyFont="1" applyBorder="1" applyAlignment="1">
      <alignment horizontal="left" vertical="center"/>
    </xf>
    <xf numFmtId="49" fontId="8" fillId="0" borderId="13" xfId="0" applyNumberFormat="1" applyFont="1" applyBorder="1" applyAlignment="1">
      <alignment horizontal="left" vertical="center"/>
    </xf>
    <xf numFmtId="49" fontId="8" fillId="0" borderId="14" xfId="0" applyNumberFormat="1" applyFont="1" applyBorder="1" applyAlignment="1">
      <alignment horizontal="left" vertical="center"/>
    </xf>
    <xf numFmtId="49" fontId="26" fillId="0" borderId="20" xfId="0" applyNumberFormat="1" applyFont="1" applyBorder="1" applyAlignment="1">
      <alignment vertical="center"/>
    </xf>
    <xf numFmtId="0" fontId="30" fillId="0" borderId="0" xfId="5" applyFont="1"/>
    <xf numFmtId="0" fontId="7" fillId="0" borderId="0" xfId="5" applyAlignment="1">
      <alignment horizontal="center"/>
    </xf>
    <xf numFmtId="0" fontId="31" fillId="0" borderId="0" xfId="6" applyFont="1"/>
    <xf numFmtId="0" fontId="30" fillId="0" borderId="16" xfId="5" applyFont="1" applyBorder="1" applyAlignment="1">
      <alignment horizontal="center"/>
    </xf>
    <xf numFmtId="165" fontId="30" fillId="0" borderId="16" xfId="5" applyNumberFormat="1" applyFont="1" applyBorder="1" applyAlignment="1">
      <alignment horizontal="center"/>
    </xf>
    <xf numFmtId="1" fontId="30" fillId="0" borderId="16" xfId="5" applyNumberFormat="1" applyFont="1" applyBorder="1" applyAlignment="1">
      <alignment horizontal="center"/>
    </xf>
    <xf numFmtId="2" fontId="30" fillId="0" borderId="16" xfId="5" applyNumberFormat="1" applyFont="1" applyBorder="1" applyAlignment="1">
      <alignment horizontal="center"/>
    </xf>
    <xf numFmtId="2" fontId="32" fillId="0" borderId="0" xfId="5" applyNumberFormat="1" applyFont="1" applyAlignment="1">
      <alignment horizontal="center"/>
    </xf>
    <xf numFmtId="0" fontId="7" fillId="0" borderId="0" xfId="5"/>
    <xf numFmtId="0" fontId="31" fillId="0" borderId="0" xfId="6" applyFont="1" applyAlignment="1">
      <alignment horizontal="center"/>
    </xf>
    <xf numFmtId="166" fontId="31" fillId="0" borderId="0" xfId="6" applyNumberFormat="1" applyFont="1" applyAlignment="1">
      <alignment horizontal="center"/>
    </xf>
    <xf numFmtId="3" fontId="7" fillId="0" borderId="0" xfId="5" applyNumberFormat="1" applyAlignment="1">
      <alignment horizontal="center"/>
    </xf>
    <xf numFmtId="2" fontId="7" fillId="0" borderId="0" xfId="5" applyNumberFormat="1" applyAlignment="1">
      <alignment horizontal="center"/>
    </xf>
    <xf numFmtId="3" fontId="33" fillId="0" borderId="25" xfId="6" applyNumberFormat="1" applyFont="1" applyBorder="1" applyAlignment="1">
      <alignment horizontal="right" vertical="top"/>
    </xf>
    <xf numFmtId="0" fontId="7" fillId="0" borderId="0" xfId="5" applyAlignment="1">
      <alignment horizontal="right"/>
    </xf>
    <xf numFmtId="3" fontId="7" fillId="10" borderId="0" xfId="6" applyNumberFormat="1" applyFont="1" applyFill="1" applyAlignment="1">
      <alignment horizontal="center"/>
    </xf>
    <xf numFmtId="0" fontId="31" fillId="10" borderId="0" xfId="6" applyFont="1" applyFill="1" applyAlignment="1">
      <alignment horizontal="center"/>
    </xf>
    <xf numFmtId="167" fontId="31" fillId="0" borderId="0" xfId="6" applyNumberFormat="1" applyFont="1"/>
    <xf numFmtId="2" fontId="7" fillId="11" borderId="0" xfId="5" applyNumberFormat="1" applyFill="1" applyAlignment="1">
      <alignment horizontal="center"/>
    </xf>
    <xf numFmtId="3" fontId="7" fillId="0" borderId="0" xfId="5" applyNumberFormat="1"/>
    <xf numFmtId="3" fontId="30" fillId="0" borderId="0" xfId="6" applyNumberFormat="1" applyFont="1" applyAlignment="1">
      <alignment horizontal="right"/>
    </xf>
    <xf numFmtId="0" fontId="30" fillId="0" borderId="16" xfId="5" applyFont="1" applyBorder="1"/>
    <xf numFmtId="2" fontId="30" fillId="0" borderId="0" xfId="5" applyNumberFormat="1" applyFont="1" applyAlignment="1">
      <alignment horizontal="center"/>
    </xf>
    <xf numFmtId="0" fontId="7" fillId="0" borderId="0" xfId="6" applyFont="1"/>
    <xf numFmtId="0" fontId="33" fillId="0" borderId="25" xfId="6" applyFont="1" applyBorder="1" applyAlignment="1">
      <alignment horizontal="right" vertical="top"/>
    </xf>
    <xf numFmtId="0" fontId="36" fillId="0" borderId="0" xfId="5" applyFont="1"/>
    <xf numFmtId="164" fontId="24" fillId="0" borderId="20" xfId="0" applyNumberFormat="1" applyFont="1" applyBorder="1" applyAlignment="1">
      <alignment horizontal="right" vertical="center"/>
    </xf>
    <xf numFmtId="164" fontId="24" fillId="8" borderId="20" xfId="0" applyNumberFormat="1" applyFont="1" applyFill="1" applyBorder="1" applyAlignment="1">
      <alignment horizontal="right" vertical="center"/>
    </xf>
    <xf numFmtId="167" fontId="37" fillId="0" borderId="0" xfId="5" applyNumberFormat="1" applyFont="1" applyAlignment="1">
      <alignment horizontal="center"/>
    </xf>
    <xf numFmtId="167" fontId="37" fillId="0" borderId="0" xfId="6" applyNumberFormat="1" applyFont="1" applyAlignment="1">
      <alignment horizontal="center"/>
    </xf>
    <xf numFmtId="1" fontId="7" fillId="0" borderId="0" xfId="5" applyNumberFormat="1" applyAlignment="1">
      <alignment horizontal="center"/>
    </xf>
    <xf numFmtId="2" fontId="7" fillId="12" borderId="0" xfId="5" applyNumberFormat="1" applyFill="1" applyAlignment="1">
      <alignment horizontal="center"/>
    </xf>
    <xf numFmtId="49" fontId="39" fillId="0" borderId="16" xfId="0" applyNumberFormat="1" applyFont="1" applyBorder="1" applyAlignment="1">
      <alignment vertical="center"/>
    </xf>
    <xf numFmtId="164" fontId="39" fillId="0" borderId="16" xfId="0" applyNumberFormat="1" applyFont="1" applyBorder="1" applyAlignment="1">
      <alignment horizontal="right" vertical="center"/>
    </xf>
    <xf numFmtId="164" fontId="38" fillId="0" borderId="16" xfId="0" applyNumberFormat="1" applyFont="1" applyBorder="1" applyAlignment="1">
      <alignment horizontal="right" vertical="center"/>
    </xf>
    <xf numFmtId="0" fontId="12" fillId="0" borderId="0" xfId="0" applyFont="1"/>
    <xf numFmtId="0" fontId="8" fillId="0" borderId="16" xfId="0" applyFont="1" applyBorder="1"/>
    <xf numFmtId="167" fontId="10" fillId="0" borderId="0" xfId="6" applyNumberFormat="1" applyFont="1" applyAlignment="1">
      <alignment horizontal="center"/>
    </xf>
    <xf numFmtId="167" fontId="37" fillId="0" borderId="0" xfId="6" applyNumberFormat="1" applyFont="1"/>
    <xf numFmtId="164" fontId="12" fillId="13" borderId="10" xfId="1" applyNumberFormat="1" applyFont="1" applyFill="1" applyBorder="1" applyAlignment="1">
      <alignment vertical="center"/>
    </xf>
    <xf numFmtId="164" fontId="8" fillId="13" borderId="11" xfId="1" applyNumberFormat="1" applyFont="1" applyFill="1" applyBorder="1" applyAlignment="1">
      <alignment vertical="center"/>
    </xf>
    <xf numFmtId="164" fontId="8" fillId="13" borderId="12" xfId="1" applyNumberFormat="1" applyFont="1" applyFill="1" applyBorder="1" applyAlignment="1">
      <alignment vertical="center"/>
    </xf>
    <xf numFmtId="164" fontId="8" fillId="13" borderId="13" xfId="1" applyNumberFormat="1" applyFont="1" applyFill="1" applyBorder="1" applyAlignment="1">
      <alignment vertical="center"/>
    </xf>
    <xf numFmtId="164" fontId="8" fillId="13" borderId="14" xfId="1" applyNumberFormat="1" applyFont="1" applyFill="1" applyBorder="1" applyAlignment="1">
      <alignment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0" fontId="8" fillId="0" borderId="0" xfId="0" applyNumberFormat="1" applyFont="1"/>
    <xf numFmtId="0" fontId="40" fillId="0" borderId="16" xfId="0" applyFont="1" applyBorder="1" applyAlignment="1">
      <alignment horizontal="center"/>
    </xf>
    <xf numFmtId="49" fontId="8" fillId="0" borderId="16" xfId="0" applyNumberFormat="1" applyFont="1" applyBorder="1" applyAlignment="1">
      <alignment horizontal="left" vertical="center"/>
    </xf>
    <xf numFmtId="164" fontId="41" fillId="0" borderId="16" xfId="1" applyNumberFormat="1" applyFont="1" applyBorder="1"/>
    <xf numFmtId="164" fontId="43" fillId="0" borderId="16" xfId="1" applyNumberFormat="1" applyFont="1" applyBorder="1"/>
    <xf numFmtId="164" fontId="42" fillId="0" borderId="16" xfId="1" applyNumberFormat="1" applyFont="1" applyBorder="1"/>
    <xf numFmtId="164" fontId="8" fillId="0" borderId="2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0" fontId="12" fillId="2" borderId="1" xfId="3" applyFont="1" applyFill="1" applyBorder="1" applyAlignment="1">
      <alignment horizontal="center" vertical="center" wrapText="1"/>
    </xf>
    <xf numFmtId="0" fontId="12" fillId="2" borderId="5" xfId="3" applyFont="1" applyFill="1" applyBorder="1" applyAlignment="1">
      <alignment horizontal="center" vertical="center" wrapText="1"/>
    </xf>
    <xf numFmtId="0" fontId="12" fillId="2" borderId="9" xfId="3" applyFont="1" applyFill="1" applyBorder="1" applyAlignment="1">
      <alignment horizontal="center" vertical="center" wrapText="1"/>
    </xf>
    <xf numFmtId="0" fontId="12" fillId="2" borderId="2" xfId="3" applyFont="1" applyFill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12" fillId="2" borderId="6" xfId="3" applyFont="1" applyFill="1" applyBorder="1" applyAlignment="1">
      <alignment horizontal="center" vertical="center" wrapText="1"/>
    </xf>
    <xf numFmtId="0" fontId="12" fillId="2" borderId="7" xfId="3" applyFont="1" applyFill="1" applyBorder="1" applyAlignment="1">
      <alignment horizontal="center" vertical="center" wrapText="1"/>
    </xf>
    <xf numFmtId="0" fontId="12" fillId="2" borderId="8" xfId="3" applyFont="1" applyFill="1" applyBorder="1" applyAlignment="1">
      <alignment horizontal="center" vertical="center" wrapText="1"/>
    </xf>
    <xf numFmtId="0" fontId="12" fillId="3" borderId="1" xfId="3" applyFont="1" applyFill="1" applyBorder="1" applyAlignment="1">
      <alignment horizontal="center" vertical="center" wrapText="1"/>
    </xf>
    <xf numFmtId="0" fontId="12" fillId="3" borderId="9" xfId="3" applyFont="1" applyFill="1" applyBorder="1" applyAlignment="1">
      <alignment horizontal="center" vertical="center" wrapText="1"/>
    </xf>
    <xf numFmtId="0" fontId="25" fillId="7" borderId="19" xfId="0" applyFont="1" applyFill="1" applyBorder="1" applyAlignment="1">
      <alignment horizontal="center" vertical="center" wrapText="1"/>
    </xf>
    <xf numFmtId="0" fontId="24" fillId="7" borderId="19" xfId="0" applyFont="1" applyFill="1" applyBorder="1" applyAlignment="1">
      <alignment horizontal="center" vertical="center" wrapText="1"/>
    </xf>
    <xf numFmtId="0" fontId="23" fillId="6" borderId="0" xfId="0" applyFont="1" applyFill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10" fontId="8" fillId="0" borderId="21" xfId="1" applyNumberFormat="1" applyFont="1" applyBorder="1" applyAlignment="1">
      <alignment horizontal="center"/>
    </xf>
    <xf numFmtId="10" fontId="8" fillId="0" borderId="22" xfId="1" applyNumberFormat="1" applyFont="1" applyBorder="1" applyAlignment="1">
      <alignment horizontal="center"/>
    </xf>
    <xf numFmtId="10" fontId="8" fillId="0" borderId="23" xfId="1" applyNumberFormat="1" applyFont="1" applyBorder="1" applyAlignment="1">
      <alignment horizontal="center"/>
    </xf>
    <xf numFmtId="10" fontId="9" fillId="0" borderId="0" xfId="0" applyNumberFormat="1" applyFont="1"/>
    <xf numFmtId="0" fontId="10" fillId="0" borderId="0" xfId="0" applyFont="1"/>
    <xf numFmtId="0" fontId="23" fillId="6" borderId="16" xfId="0" applyFont="1" applyFill="1" applyBorder="1" applyAlignment="1">
      <alignment horizontal="center" vertical="center"/>
    </xf>
    <xf numFmtId="0" fontId="38" fillId="0" borderId="16" xfId="0" applyFont="1" applyBorder="1" applyAlignment="1">
      <alignment horizontal="center" vertical="center" wrapText="1"/>
    </xf>
    <xf numFmtId="164" fontId="39" fillId="0" borderId="16" xfId="0" applyNumberFormat="1" applyFont="1" applyBorder="1" applyAlignment="1">
      <alignment horizontal="right" vertical="center"/>
    </xf>
    <xf numFmtId="10" fontId="8" fillId="0" borderId="21" xfId="0" applyNumberFormat="1" applyFont="1" applyBorder="1" applyAlignment="1">
      <alignment horizontal="center"/>
    </xf>
    <xf numFmtId="10" fontId="8" fillId="0" borderId="23" xfId="0" applyNumberFormat="1" applyFont="1" applyBorder="1" applyAlignment="1">
      <alignment horizontal="center"/>
    </xf>
    <xf numFmtId="0" fontId="30" fillId="0" borderId="21" xfId="6" applyFont="1" applyBorder="1" applyAlignment="1">
      <alignment horizontal="center"/>
    </xf>
    <xf numFmtId="0" fontId="30" fillId="0" borderId="22" xfId="6" applyFont="1" applyBorder="1" applyAlignment="1">
      <alignment horizontal="center"/>
    </xf>
    <xf numFmtId="0" fontId="30" fillId="0" borderId="23" xfId="6" applyFont="1" applyBorder="1" applyAlignment="1">
      <alignment horizontal="center"/>
    </xf>
    <xf numFmtId="3" fontId="30" fillId="0" borderId="21" xfId="6" applyNumberFormat="1" applyFont="1" applyBorder="1" applyAlignment="1">
      <alignment horizontal="right"/>
    </xf>
    <xf numFmtId="3" fontId="30" fillId="0" borderId="22" xfId="6" applyNumberFormat="1" applyFont="1" applyBorder="1" applyAlignment="1">
      <alignment horizontal="right"/>
    </xf>
    <xf numFmtId="3" fontId="30" fillId="0" borderId="23" xfId="6" applyNumberFormat="1" applyFont="1" applyBorder="1" applyAlignment="1">
      <alignment horizontal="right"/>
    </xf>
    <xf numFmtId="3" fontId="30" fillId="0" borderId="24" xfId="6" applyNumberFormat="1" applyFont="1" applyBorder="1" applyAlignment="1">
      <alignment horizontal="center"/>
    </xf>
    <xf numFmtId="3" fontId="30" fillId="0" borderId="0" xfId="6" applyNumberFormat="1" applyFont="1" applyAlignment="1">
      <alignment horizontal="center"/>
    </xf>
  </cellXfs>
  <cellStyles count="7">
    <cellStyle name="Normálna" xfId="0" builtinId="0"/>
    <cellStyle name="Normálna 2" xfId="2" xr:uid="{00000000-0005-0000-0000-000001000000}"/>
    <cellStyle name="Normálna 2 2" xfId="4" xr:uid="{00000000-0005-0000-0000-000002000000}"/>
    <cellStyle name="Normálna 2 2 2" xfId="5" xr:uid="{00000000-0005-0000-0000-000003000000}"/>
    <cellStyle name="Normálna 4 2" xfId="6" xr:uid="{00000000-0005-0000-0000-000004000000}"/>
    <cellStyle name="normální_List1" xfId="3" xr:uid="{00000000-0005-0000-0000-000005000000}"/>
    <cellStyle name="Percentá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N65"/>
  <sheetViews>
    <sheetView tabSelected="1" workbookViewId="0">
      <selection activeCell="B69" sqref="B69"/>
    </sheetView>
  </sheetViews>
  <sheetFormatPr defaultColWidth="9.140625" defaultRowHeight="14.25"/>
  <cols>
    <col min="1" max="1" width="21.5703125" style="3" customWidth="1"/>
    <col min="2" max="3" width="9.7109375" style="3" customWidth="1"/>
    <col min="4" max="4" width="9.28515625" style="3" customWidth="1"/>
    <col min="5" max="6" width="9.140625" style="3"/>
    <col min="7" max="7" width="30.28515625" style="3" customWidth="1"/>
    <col min="8" max="8" width="43.28515625" style="3" customWidth="1"/>
    <col min="9" max="9" width="21" style="3" customWidth="1"/>
    <col min="10" max="15" width="11" style="3" customWidth="1"/>
    <col min="16" max="16" width="13.42578125" style="3" customWidth="1"/>
    <col min="17" max="17" width="21" style="3" customWidth="1"/>
    <col min="18" max="23" width="11" style="3" customWidth="1"/>
    <col min="24" max="24" width="13.140625" style="3" customWidth="1"/>
    <col min="25" max="25" width="21" style="3" customWidth="1"/>
    <col min="26" max="31" width="11" style="3" customWidth="1"/>
    <col min="32" max="32" width="15.140625" style="3" customWidth="1"/>
    <col min="33" max="33" width="9.140625" style="3"/>
    <col min="34" max="34" width="26.28515625" style="3" customWidth="1"/>
    <col min="35" max="35" width="9.140625" style="3"/>
    <col min="36" max="36" width="14.85546875" style="3" customWidth="1"/>
    <col min="37" max="37" width="9.140625" style="3"/>
    <col min="38" max="38" width="25.28515625" style="3" customWidth="1"/>
    <col min="39" max="39" width="9.140625" style="3"/>
    <col min="40" max="40" width="15.85546875" style="3" customWidth="1"/>
    <col min="41" max="16384" width="9.140625" style="3"/>
  </cols>
  <sheetData>
    <row r="1" spans="1:40" s="2" customFormat="1" ht="20.100000000000001" customHeight="1">
      <c r="A1" s="1" t="s">
        <v>0</v>
      </c>
      <c r="B1" s="1"/>
      <c r="C1" s="1"/>
      <c r="W1"/>
      <c r="X1"/>
    </row>
    <row r="2" spans="1:40" ht="20.100000000000001" customHeight="1">
      <c r="B2" s="142" t="s">
        <v>1</v>
      </c>
      <c r="C2" s="143"/>
      <c r="D2" s="143"/>
      <c r="E2" s="143"/>
      <c r="F2" s="143"/>
      <c r="G2" s="143"/>
      <c r="H2" s="4"/>
      <c r="I2" s="144" t="s">
        <v>2</v>
      </c>
      <c r="J2" s="144"/>
      <c r="K2" s="144"/>
      <c r="L2" s="144"/>
      <c r="M2" s="144"/>
      <c r="N2" s="144"/>
      <c r="O2" s="144"/>
      <c r="Q2" s="134" t="s">
        <v>3</v>
      </c>
      <c r="R2" s="134"/>
      <c r="S2" s="134"/>
      <c r="T2" s="134"/>
      <c r="U2" s="134"/>
      <c r="V2" s="134"/>
      <c r="W2" s="134"/>
      <c r="Y2" s="134" t="s">
        <v>4</v>
      </c>
      <c r="Z2" s="134"/>
      <c r="AA2" s="134"/>
      <c r="AB2" s="134"/>
      <c r="AC2" s="134"/>
      <c r="AD2" s="134"/>
      <c r="AE2" s="134"/>
    </row>
    <row r="3" spans="1:40" ht="20.100000000000001" customHeight="1">
      <c r="A3" s="121" t="s">
        <v>5</v>
      </c>
      <c r="B3" s="124" t="s">
        <v>6</v>
      </c>
      <c r="C3" s="125"/>
      <c r="D3" s="125"/>
      <c r="E3" s="125"/>
      <c r="F3" s="125"/>
      <c r="G3" s="126"/>
      <c r="I3" s="145" t="s">
        <v>7</v>
      </c>
      <c r="J3" s="145" t="s">
        <v>8</v>
      </c>
      <c r="K3" s="145"/>
      <c r="L3" s="145"/>
      <c r="M3" s="145"/>
      <c r="N3" s="145"/>
      <c r="O3" s="145"/>
      <c r="Q3" s="132" t="s">
        <v>7</v>
      </c>
      <c r="R3" s="133" t="s">
        <v>8</v>
      </c>
      <c r="S3" s="133"/>
      <c r="T3" s="133"/>
      <c r="U3" s="133"/>
      <c r="V3" s="133"/>
      <c r="W3" s="133"/>
      <c r="Y3" s="132" t="s">
        <v>7</v>
      </c>
      <c r="Z3" s="133" t="s">
        <v>8</v>
      </c>
      <c r="AA3" s="133"/>
      <c r="AB3" s="133"/>
      <c r="AC3" s="133"/>
      <c r="AD3" s="133"/>
      <c r="AE3" s="133"/>
    </row>
    <row r="4" spans="1:40" ht="20.100000000000001" customHeight="1">
      <c r="A4" s="122"/>
      <c r="B4" s="127"/>
      <c r="C4" s="128"/>
      <c r="D4" s="128"/>
      <c r="E4" s="128"/>
      <c r="F4" s="128"/>
      <c r="G4" s="129"/>
      <c r="I4" s="145"/>
      <c r="J4" s="145"/>
      <c r="K4" s="145"/>
      <c r="L4" s="145"/>
      <c r="M4" s="145"/>
      <c r="N4" s="145"/>
      <c r="O4" s="145"/>
      <c r="Q4" s="132"/>
      <c r="R4" s="133"/>
      <c r="S4" s="133"/>
      <c r="T4" s="133"/>
      <c r="U4" s="133"/>
      <c r="V4" s="133"/>
      <c r="W4" s="133"/>
      <c r="Y4" s="132"/>
      <c r="Z4" s="133"/>
      <c r="AA4" s="133"/>
      <c r="AB4" s="133"/>
      <c r="AC4" s="133"/>
      <c r="AD4" s="133"/>
      <c r="AE4" s="133"/>
      <c r="AG4" s="3" t="s">
        <v>9</v>
      </c>
    </row>
    <row r="5" spans="1:40" ht="29.25" customHeight="1">
      <c r="A5" s="122"/>
      <c r="B5" s="121" t="s">
        <v>10</v>
      </c>
      <c r="C5" s="121" t="s">
        <v>11</v>
      </c>
      <c r="D5" s="121" t="s">
        <v>12</v>
      </c>
      <c r="E5" s="121" t="s">
        <v>13</v>
      </c>
      <c r="F5" s="121" t="s">
        <v>14</v>
      </c>
      <c r="G5" s="130" t="s">
        <v>15</v>
      </c>
      <c r="I5" s="145"/>
      <c r="J5" s="145" t="s">
        <v>16</v>
      </c>
      <c r="K5" s="145" t="s">
        <v>17</v>
      </c>
      <c r="L5" s="145" t="s">
        <v>18</v>
      </c>
      <c r="M5" s="145" t="s">
        <v>19</v>
      </c>
      <c r="N5" s="145" t="s">
        <v>14</v>
      </c>
      <c r="O5" s="145" t="s">
        <v>15</v>
      </c>
      <c r="P5"/>
      <c r="Q5" s="132"/>
      <c r="R5" s="28" t="s">
        <v>16</v>
      </c>
      <c r="S5" s="28" t="s">
        <v>17</v>
      </c>
      <c r="T5" s="28" t="s">
        <v>18</v>
      </c>
      <c r="U5" s="28" t="s">
        <v>19</v>
      </c>
      <c r="V5" s="28" t="s">
        <v>14</v>
      </c>
      <c r="W5" s="28" t="s">
        <v>15</v>
      </c>
      <c r="X5"/>
      <c r="Y5" s="132"/>
      <c r="Z5" s="28" t="s">
        <v>16</v>
      </c>
      <c r="AA5" s="28" t="s">
        <v>17</v>
      </c>
      <c r="AB5" s="28" t="s">
        <v>18</v>
      </c>
      <c r="AC5" s="28" t="s">
        <v>19</v>
      </c>
      <c r="AD5" s="28" t="s">
        <v>14</v>
      </c>
      <c r="AE5" s="28" t="s">
        <v>15</v>
      </c>
      <c r="AF5" s="5"/>
      <c r="AG5" s="28" t="s">
        <v>18</v>
      </c>
      <c r="AH5" s="28" t="s">
        <v>19</v>
      </c>
      <c r="AI5" s="8"/>
      <c r="AJ5" s="5"/>
      <c r="AK5" s="6"/>
      <c r="AL5" s="7"/>
      <c r="AM5" s="8"/>
      <c r="AN5" s="5"/>
    </row>
    <row r="6" spans="1:40" ht="29.25" customHeight="1">
      <c r="A6" s="123"/>
      <c r="B6" s="123"/>
      <c r="C6" s="123"/>
      <c r="D6" s="123"/>
      <c r="E6" s="123"/>
      <c r="F6" s="123"/>
      <c r="G6" s="131"/>
      <c r="I6" s="145" t="s">
        <v>20</v>
      </c>
      <c r="J6" s="145"/>
      <c r="K6" s="145"/>
      <c r="L6" s="145"/>
      <c r="M6" s="145"/>
      <c r="N6" s="145"/>
      <c r="O6" s="145"/>
      <c r="Q6" s="28" t="s">
        <v>20</v>
      </c>
      <c r="R6" s="28"/>
      <c r="S6" s="28"/>
      <c r="T6" s="28"/>
      <c r="U6" s="28"/>
      <c r="V6" s="28"/>
      <c r="W6" s="29"/>
      <c r="X6"/>
      <c r="Y6" s="28" t="s">
        <v>20</v>
      </c>
      <c r="Z6" s="28"/>
      <c r="AA6" s="28"/>
      <c r="AB6" s="28"/>
      <c r="AC6" s="28"/>
      <c r="AD6" s="28"/>
      <c r="AE6" s="29"/>
      <c r="AG6" s="9"/>
      <c r="AH6" s="9"/>
      <c r="AK6" s="9"/>
      <c r="AL6" s="9"/>
    </row>
    <row r="7" spans="1:40" ht="20.100000000000001" customHeight="1">
      <c r="A7" s="60" t="s">
        <v>21</v>
      </c>
      <c r="B7" s="30">
        <v>0.70649273300994353</v>
      </c>
      <c r="C7" s="31">
        <v>0.495</v>
      </c>
      <c r="D7" s="119">
        <v>0.32847846955246918</v>
      </c>
      <c r="E7" s="120">
        <v>0.21797596961521704</v>
      </c>
      <c r="F7" s="32">
        <v>0.14464729878469096</v>
      </c>
      <c r="G7" s="105">
        <v>0.36582027785760335</v>
      </c>
      <c r="I7" s="98" t="s">
        <v>21</v>
      </c>
      <c r="J7" s="99">
        <v>0.70649273300994353</v>
      </c>
      <c r="K7" s="99">
        <v>0.495</v>
      </c>
      <c r="L7" s="146">
        <v>0.34037208864980373</v>
      </c>
      <c r="M7" s="146">
        <v>0.23404678531682799</v>
      </c>
      <c r="N7" s="99">
        <v>0</v>
      </c>
      <c r="O7" s="100">
        <v>0.36582027785760335</v>
      </c>
      <c r="Q7" s="65" t="s">
        <v>21</v>
      </c>
      <c r="R7" s="52">
        <v>0.70649273300994353</v>
      </c>
      <c r="S7" s="52">
        <v>0.495</v>
      </c>
      <c r="T7" s="53">
        <v>0.33832844401971474</v>
      </c>
      <c r="U7" s="53">
        <v>0.23124471925818435</v>
      </c>
      <c r="V7" s="52">
        <v>2.5000000000000001E-2</v>
      </c>
      <c r="W7" s="54">
        <v>0.36582027785760335</v>
      </c>
      <c r="Y7" s="65" t="s">
        <v>21</v>
      </c>
      <c r="Z7" s="52">
        <v>0.70649273300994353</v>
      </c>
      <c r="AA7" s="52">
        <v>0.495</v>
      </c>
      <c r="AB7" s="53">
        <v>0.33627983940845313</v>
      </c>
      <c r="AC7" s="53">
        <v>0.22845278867186875</v>
      </c>
      <c r="AD7" s="52">
        <v>0.05</v>
      </c>
      <c r="AE7" s="54">
        <v>0.36582027785760335</v>
      </c>
      <c r="AH7" s="10"/>
      <c r="AL7" s="10"/>
    </row>
    <row r="8" spans="1:40" ht="20.100000000000001" customHeight="1">
      <c r="A8" s="61" t="s">
        <v>22</v>
      </c>
      <c r="B8" s="34">
        <v>0.67877450403914596</v>
      </c>
      <c r="C8" s="35">
        <v>0.75700000000000001</v>
      </c>
      <c r="D8" s="36">
        <v>0.27177150527524241</v>
      </c>
      <c r="E8" s="37">
        <v>9.7569023883185085E-2</v>
      </c>
      <c r="F8" s="38">
        <v>3.5028375811055862E-2</v>
      </c>
      <c r="G8" s="106">
        <v>0.40351653647899444</v>
      </c>
      <c r="I8" s="98" t="s">
        <v>22</v>
      </c>
      <c r="J8" s="99">
        <v>0.67877450403914596</v>
      </c>
      <c r="K8" s="99">
        <v>0.75700000000000001</v>
      </c>
      <c r="L8" s="99">
        <v>0.27556601057029051</v>
      </c>
      <c r="M8" s="99">
        <v>0.10031258412367962</v>
      </c>
      <c r="N8" s="99">
        <v>0</v>
      </c>
      <c r="O8" s="100">
        <v>0.40351653647899444</v>
      </c>
      <c r="Q8" s="65" t="s">
        <v>22</v>
      </c>
      <c r="R8" s="52">
        <v>0.67877450403914596</v>
      </c>
      <c r="S8" s="52">
        <v>0.75700000000000001</v>
      </c>
      <c r="T8" s="53">
        <v>0.27285930866611957</v>
      </c>
      <c r="U8" s="53">
        <v>9.8351654327282309E-2</v>
      </c>
      <c r="V8" s="52">
        <v>2.5000000000000001E-2</v>
      </c>
      <c r="W8" s="54">
        <v>0.40351653647899444</v>
      </c>
      <c r="Y8" s="65" t="s">
        <v>22</v>
      </c>
      <c r="Z8" s="52">
        <v>0.67877450403914596</v>
      </c>
      <c r="AA8" s="52">
        <v>0.75700000000000001</v>
      </c>
      <c r="AB8" s="53">
        <v>0.27014529859996439</v>
      </c>
      <c r="AC8" s="53">
        <v>9.6404864406425261E-2</v>
      </c>
      <c r="AD8" s="52">
        <v>0.05</v>
      </c>
      <c r="AE8" s="54">
        <v>0.40351653647899444</v>
      </c>
      <c r="AG8" s="113">
        <f>ABS(L8-AB8)</f>
        <v>5.4207119703261197E-3</v>
      </c>
      <c r="AH8" s="113">
        <f>ABS(M8-AC8)</f>
        <v>3.9077197172543571E-3</v>
      </c>
      <c r="AL8" s="10"/>
    </row>
    <row r="9" spans="1:40" ht="20.100000000000001" customHeight="1">
      <c r="A9" s="62" t="s">
        <v>23</v>
      </c>
      <c r="B9" s="40">
        <v>0.66339689212818365</v>
      </c>
      <c r="C9" s="41">
        <v>0.43099999999999999</v>
      </c>
      <c r="D9" s="42">
        <v>0.35710966912112763</v>
      </c>
      <c r="E9" s="37">
        <v>0.29588704357262469</v>
      </c>
      <c r="F9" s="43">
        <v>0.24516038103816395</v>
      </c>
      <c r="G9" s="107">
        <v>0.37051989602906299</v>
      </c>
      <c r="I9" s="98" t="s">
        <v>23</v>
      </c>
      <c r="J9" s="99">
        <v>0.66339689212818365</v>
      </c>
      <c r="K9" s="99">
        <v>0.43099999999999999</v>
      </c>
      <c r="L9" s="99">
        <v>0.37365258765183429</v>
      </c>
      <c r="M9" s="99">
        <v>0.32393562937102482</v>
      </c>
      <c r="N9" s="99">
        <v>0</v>
      </c>
      <c r="O9" s="100">
        <v>0.37051989602906299</v>
      </c>
      <c r="Q9" s="65" t="s">
        <v>23</v>
      </c>
      <c r="R9" s="52">
        <v>0.66339689212818365</v>
      </c>
      <c r="S9" s="52">
        <v>0.43099999999999999</v>
      </c>
      <c r="T9" s="53">
        <v>0.37198102900019875</v>
      </c>
      <c r="U9" s="53">
        <v>0.32104381887713851</v>
      </c>
      <c r="V9" s="52">
        <v>2.5000000000000001E-2</v>
      </c>
      <c r="W9" s="54">
        <v>0.37051989602906299</v>
      </c>
      <c r="Y9" s="65" t="s">
        <v>23</v>
      </c>
      <c r="Z9" s="52">
        <v>0.66339689212818365</v>
      </c>
      <c r="AA9" s="52">
        <v>0.43099999999999999</v>
      </c>
      <c r="AB9" s="53">
        <v>0.37030603162667264</v>
      </c>
      <c r="AC9" s="53">
        <v>0.3181590651023069</v>
      </c>
      <c r="AD9" s="52">
        <v>0.05</v>
      </c>
      <c r="AE9" s="54">
        <v>0.37051989602906299</v>
      </c>
      <c r="AG9" s="113">
        <f t="shared" ref="AG9:AG14" si="0">ABS(L9-AB9)</f>
        <v>3.3465560251616511E-3</v>
      </c>
      <c r="AH9" s="113">
        <f t="shared" ref="AH9:AH15" si="1">ABS(M9-AC9)</f>
        <v>5.7765642687179208E-3</v>
      </c>
      <c r="AL9" s="10"/>
    </row>
    <row r="10" spans="1:40" ht="20.100000000000001" customHeight="1">
      <c r="A10" s="63" t="s">
        <v>24</v>
      </c>
      <c r="B10" s="40">
        <v>0.71935162432784638</v>
      </c>
      <c r="C10" s="45">
        <v>0.57299999999999995</v>
      </c>
      <c r="D10" s="42">
        <v>0.35041876554496082</v>
      </c>
      <c r="E10" s="37">
        <v>0.21429897250620286</v>
      </c>
      <c r="F10" s="43">
        <v>0.13105476684673145</v>
      </c>
      <c r="G10" s="108">
        <v>0.40117176118435283</v>
      </c>
      <c r="I10" s="98" t="s">
        <v>24</v>
      </c>
      <c r="J10" s="99">
        <v>0.71935162432784638</v>
      </c>
      <c r="K10" s="99">
        <v>0.57299999999999995</v>
      </c>
      <c r="L10" s="99">
        <v>0.36183844495767875</v>
      </c>
      <c r="M10" s="99">
        <v>0.22849399694483619</v>
      </c>
      <c r="N10" s="99">
        <v>0</v>
      </c>
      <c r="O10" s="100">
        <v>0.40117176118435283</v>
      </c>
      <c r="P10"/>
      <c r="Q10" s="65" t="s">
        <v>24</v>
      </c>
      <c r="R10" s="52">
        <v>0.71935162432784638</v>
      </c>
      <c r="S10" s="52">
        <v>0.57299999999999995</v>
      </c>
      <c r="T10" s="53">
        <v>0.35967078811676367</v>
      </c>
      <c r="U10" s="53">
        <v>0.22576453023478868</v>
      </c>
      <c r="V10" s="52">
        <v>2.5000000000000001E-2</v>
      </c>
      <c r="W10" s="54">
        <v>0.40117176118435283</v>
      </c>
      <c r="X10"/>
      <c r="Y10" s="65" t="s">
        <v>24</v>
      </c>
      <c r="Z10" s="52">
        <v>0.71935162432784638</v>
      </c>
      <c r="AA10" s="52">
        <v>0.57299999999999995</v>
      </c>
      <c r="AB10" s="53">
        <v>0.35749809650154796</v>
      </c>
      <c r="AC10" s="53">
        <v>0.22304518150476457</v>
      </c>
      <c r="AD10" s="52">
        <v>0.05</v>
      </c>
      <c r="AE10" s="54">
        <v>0.40117176118435283</v>
      </c>
      <c r="AF10" s="11"/>
      <c r="AG10" s="113">
        <f t="shared" si="0"/>
        <v>4.3403484561307937E-3</v>
      </c>
      <c r="AH10" s="113">
        <f t="shared" si="1"/>
        <v>5.4488154400716138E-3</v>
      </c>
      <c r="AI10" s="12"/>
      <c r="AJ10" s="13"/>
      <c r="AL10" s="10"/>
      <c r="AM10" s="12"/>
      <c r="AN10" s="15"/>
    </row>
    <row r="11" spans="1:40" ht="20.100000000000001" customHeight="1">
      <c r="A11" s="62" t="s">
        <v>25</v>
      </c>
      <c r="B11" s="40">
        <v>0.7901255351217058</v>
      </c>
      <c r="C11" s="45">
        <v>0.65100000000000002</v>
      </c>
      <c r="D11" s="44">
        <v>0.44079860054704345</v>
      </c>
      <c r="E11" s="46">
        <v>0.29846913401571734</v>
      </c>
      <c r="F11" s="47">
        <v>0.20209643099941041</v>
      </c>
      <c r="G11" s="107">
        <v>0.48681537944510483</v>
      </c>
      <c r="I11" s="98" t="s">
        <v>25</v>
      </c>
      <c r="J11" s="99">
        <v>0.7901255351217058</v>
      </c>
      <c r="K11" s="99">
        <v>0.65100000000000002</v>
      </c>
      <c r="L11" s="99">
        <v>0.4567816040684658</v>
      </c>
      <c r="M11" s="99">
        <v>0.32050604272712852</v>
      </c>
      <c r="N11" s="99">
        <v>0</v>
      </c>
      <c r="O11" s="100">
        <v>0.48681537944510483</v>
      </c>
      <c r="Q11" s="65" t="s">
        <v>25</v>
      </c>
      <c r="R11" s="52">
        <v>0.7901255351217058</v>
      </c>
      <c r="S11" s="52">
        <v>0.65100000000000002</v>
      </c>
      <c r="T11" s="53">
        <v>0.45481681534465102</v>
      </c>
      <c r="U11" s="53">
        <v>0.31775473966244294</v>
      </c>
      <c r="V11" s="52">
        <v>2.5000000000000001E-2</v>
      </c>
      <c r="W11" s="54">
        <v>0.48681537944510483</v>
      </c>
      <c r="Y11" s="65" t="s">
        <v>25</v>
      </c>
      <c r="Z11" s="52">
        <v>0.7901255351217058</v>
      </c>
      <c r="AA11" s="52">
        <v>0.65100000000000002</v>
      </c>
      <c r="AB11" s="53">
        <v>0.45284857391965688</v>
      </c>
      <c r="AC11" s="53">
        <v>0.31501049293558669</v>
      </c>
      <c r="AD11" s="52">
        <v>0.05</v>
      </c>
      <c r="AE11" s="54">
        <v>0.48681537944510483</v>
      </c>
      <c r="AG11" s="113">
        <f t="shared" si="0"/>
        <v>3.9330301488089137E-3</v>
      </c>
      <c r="AH11" s="113">
        <f t="shared" si="1"/>
        <v>5.4955497915418206E-3</v>
      </c>
      <c r="AK11" s="17"/>
      <c r="AL11" s="16"/>
    </row>
    <row r="12" spans="1:40" ht="20.100000000000001" customHeight="1">
      <c r="A12" s="62" t="s">
        <v>26</v>
      </c>
      <c r="B12" s="40">
        <v>0.75713537357033034</v>
      </c>
      <c r="C12" s="45">
        <v>0.34899999999999998</v>
      </c>
      <c r="D12" s="44">
        <v>0.26636293950369239</v>
      </c>
      <c r="E12" s="46">
        <v>0.20329288120644037</v>
      </c>
      <c r="F12" s="47">
        <v>0.15515670320436217</v>
      </c>
      <c r="G12" s="107">
        <v>0.28354338729867035</v>
      </c>
      <c r="H12" s="4"/>
      <c r="I12" s="98" t="s">
        <v>26</v>
      </c>
      <c r="J12" s="99">
        <v>0.75713537357033034</v>
      </c>
      <c r="K12" s="99">
        <v>0.34899999999999998</v>
      </c>
      <c r="L12" s="99">
        <v>0.27822987851079312</v>
      </c>
      <c r="M12" s="99">
        <v>0.2218105022811768</v>
      </c>
      <c r="N12" s="99">
        <v>0</v>
      </c>
      <c r="O12" s="100">
        <v>0.28354338729867035</v>
      </c>
      <c r="Q12" s="65" t="s">
        <v>26</v>
      </c>
      <c r="R12" s="52">
        <v>0.75713537357033034</v>
      </c>
      <c r="S12" s="52">
        <v>0.34899999999999998</v>
      </c>
      <c r="T12" s="53">
        <v>0.27633260204796434</v>
      </c>
      <c r="U12" s="53">
        <v>0.21879572193294736</v>
      </c>
      <c r="V12" s="52">
        <v>2.5000000000000001E-2</v>
      </c>
      <c r="W12" s="54">
        <v>0.28354338729867035</v>
      </c>
      <c r="Y12" s="65" t="s">
        <v>26</v>
      </c>
      <c r="Z12" s="52">
        <v>0.75713537357033034</v>
      </c>
      <c r="AA12" s="52">
        <v>0.34899999999999998</v>
      </c>
      <c r="AB12" s="53">
        <v>0.27442970646355863</v>
      </c>
      <c r="AC12" s="53">
        <v>0.21579273292170473</v>
      </c>
      <c r="AD12" s="52">
        <v>0.05</v>
      </c>
      <c r="AE12" s="54">
        <v>0.28354338729867035</v>
      </c>
      <c r="AG12" s="113">
        <f t="shared" si="0"/>
        <v>3.8001720472344847E-3</v>
      </c>
      <c r="AH12" s="113">
        <f t="shared" si="1"/>
        <v>6.0177693594720694E-3</v>
      </c>
      <c r="AK12" s="17"/>
      <c r="AL12" s="18"/>
    </row>
    <row r="13" spans="1:40" ht="20.100000000000001" customHeight="1">
      <c r="A13" s="63" t="s">
        <v>27</v>
      </c>
      <c r="B13" s="40">
        <v>0.7679515188431022</v>
      </c>
      <c r="C13" s="45">
        <v>0.48699999999999999</v>
      </c>
      <c r="D13" s="44">
        <v>0.33392429799335255</v>
      </c>
      <c r="E13" s="46">
        <v>0.22896393591448319</v>
      </c>
      <c r="F13" s="47">
        <v>0.1569951161520303</v>
      </c>
      <c r="G13" s="108">
        <v>0.36824202839234904</v>
      </c>
      <c r="H13" s="19"/>
      <c r="I13" s="98" t="s">
        <v>27</v>
      </c>
      <c r="J13" s="99">
        <v>0.7679515188431022</v>
      </c>
      <c r="K13" s="99">
        <v>0.48699999999999999</v>
      </c>
      <c r="L13" s="99">
        <v>0.34607583105266204</v>
      </c>
      <c r="M13" s="99">
        <v>0.2459311721535743</v>
      </c>
      <c r="N13" s="99">
        <v>0</v>
      </c>
      <c r="O13" s="100">
        <v>0.36824202839234904</v>
      </c>
      <c r="P13"/>
      <c r="Q13" s="65" t="s">
        <v>27</v>
      </c>
      <c r="R13" s="52">
        <v>0.7679515188431022</v>
      </c>
      <c r="S13" s="52">
        <v>0.48699999999999999</v>
      </c>
      <c r="T13" s="53">
        <v>0.34415253402832796</v>
      </c>
      <c r="U13" s="53">
        <v>0.2432052703862822</v>
      </c>
      <c r="V13" s="52">
        <v>2.5000000000000001E-2</v>
      </c>
      <c r="W13" s="54">
        <v>0.36824202839234904</v>
      </c>
      <c r="Y13" s="65" t="s">
        <v>27</v>
      </c>
      <c r="Z13" s="52">
        <v>0.7679515188431022</v>
      </c>
      <c r="AA13" s="52">
        <v>0.48699999999999999</v>
      </c>
      <c r="AB13" s="53">
        <v>0.34222484081035692</v>
      </c>
      <c r="AC13" s="53">
        <v>0.24048838124779084</v>
      </c>
      <c r="AD13" s="52">
        <v>0.05</v>
      </c>
      <c r="AE13" s="54">
        <v>0.36824202839234904</v>
      </c>
      <c r="AG13" s="113">
        <f t="shared" si="0"/>
        <v>3.850990242305119E-3</v>
      </c>
      <c r="AH13" s="113">
        <f t="shared" si="1"/>
        <v>5.4427909057834511E-3</v>
      </c>
    </row>
    <row r="14" spans="1:40" ht="20.100000000000001" customHeight="1">
      <c r="A14" s="63" t="s">
        <v>28</v>
      </c>
      <c r="B14" s="40">
        <v>0.68840596083136851</v>
      </c>
      <c r="C14" s="45">
        <v>0.28799999999999998</v>
      </c>
      <c r="D14" s="44">
        <v>0.21089290013777204</v>
      </c>
      <c r="E14" s="46">
        <v>0.15442991433513989</v>
      </c>
      <c r="F14" s="47">
        <v>0.11308393229918524</v>
      </c>
      <c r="G14" s="108">
        <v>0.22859564907490668</v>
      </c>
      <c r="I14" s="98" t="s">
        <v>28</v>
      </c>
      <c r="J14" s="99">
        <v>0.68840596083136851</v>
      </c>
      <c r="K14" s="99">
        <v>0.28799999999999998</v>
      </c>
      <c r="L14" s="99">
        <v>0.22009730707417557</v>
      </c>
      <c r="M14" s="99">
        <v>0.16820425201841646</v>
      </c>
      <c r="N14" s="99">
        <v>0</v>
      </c>
      <c r="O14" s="100">
        <v>0.22859564907490668</v>
      </c>
      <c r="Q14" s="65" t="s">
        <v>28</v>
      </c>
      <c r="R14" s="52">
        <v>0.68840596083136851</v>
      </c>
      <c r="S14" s="52">
        <v>0.28799999999999998</v>
      </c>
      <c r="T14" s="53">
        <v>0.21807645447210419</v>
      </c>
      <c r="U14" s="53">
        <v>0.16512965276084632</v>
      </c>
      <c r="V14" s="52">
        <v>2.5000000000000001E-2</v>
      </c>
      <c r="W14" s="54">
        <v>0.22859564907490668</v>
      </c>
      <c r="Y14" s="65" t="s">
        <v>28</v>
      </c>
      <c r="Z14" s="52">
        <v>0.68840596083136851</v>
      </c>
      <c r="AA14" s="52">
        <v>0.28799999999999998</v>
      </c>
      <c r="AB14" s="53">
        <v>0.21604772829286262</v>
      </c>
      <c r="AC14" s="53">
        <v>0.16207160034898122</v>
      </c>
      <c r="AD14" s="52">
        <v>0.05</v>
      </c>
      <c r="AE14" s="54">
        <v>0.22859564907490668</v>
      </c>
      <c r="AG14" s="113">
        <f t="shared" si="0"/>
        <v>4.0495787813129569E-3</v>
      </c>
      <c r="AH14" s="113">
        <f t="shared" si="1"/>
        <v>6.1326516694352462E-3</v>
      </c>
    </row>
    <row r="15" spans="1:40" ht="20.100000000000001" customHeight="1">
      <c r="A15" s="64" t="s">
        <v>29</v>
      </c>
      <c r="B15" s="48">
        <v>0.59957410705237113</v>
      </c>
      <c r="C15" s="49">
        <v>0.5</v>
      </c>
      <c r="D15" s="50">
        <v>0.34025199056954192</v>
      </c>
      <c r="E15" s="46">
        <v>0.23154283417307128</v>
      </c>
      <c r="F15" s="51">
        <v>0.15756582045900172</v>
      </c>
      <c r="G15" s="109">
        <v>0.37664574608781415</v>
      </c>
      <c r="I15" s="98" t="s">
        <v>29</v>
      </c>
      <c r="J15" s="99">
        <v>0.59957410705237113</v>
      </c>
      <c r="K15" s="99">
        <v>0.5</v>
      </c>
      <c r="L15" s="99">
        <v>0.35362208030700681</v>
      </c>
      <c r="M15" s="99">
        <v>0.25009715136131033</v>
      </c>
      <c r="N15" s="99">
        <v>0</v>
      </c>
      <c r="O15" s="100">
        <v>0.37664574608781415</v>
      </c>
      <c r="Q15" s="65" t="s">
        <v>29</v>
      </c>
      <c r="R15" s="52">
        <v>0.59957410705237113</v>
      </c>
      <c r="S15" s="52">
        <v>0.5</v>
      </c>
      <c r="T15" s="53">
        <v>0.35151446626719518</v>
      </c>
      <c r="U15" s="53">
        <v>0.24712483999022219</v>
      </c>
      <c r="V15" s="52">
        <v>2.5000000000000001E-2</v>
      </c>
      <c r="W15" s="54">
        <v>0.37664574608781415</v>
      </c>
      <c r="Y15" s="65" t="s">
        <v>29</v>
      </c>
      <c r="Z15" s="52">
        <v>0.59957410705237113</v>
      </c>
      <c r="AA15" s="52">
        <v>0.5</v>
      </c>
      <c r="AB15" s="53">
        <v>0.34940172590485286</v>
      </c>
      <c r="AC15" s="53">
        <v>0.24416313213057986</v>
      </c>
      <c r="AD15" s="52">
        <v>0.05</v>
      </c>
      <c r="AE15" s="54">
        <v>0.37664574608781415</v>
      </c>
      <c r="AG15" s="113">
        <f>ABS(L15-AB15)</f>
        <v>4.2203544021539585E-3</v>
      </c>
      <c r="AH15" s="113">
        <f t="shared" si="1"/>
        <v>5.9340192307304751E-3</v>
      </c>
    </row>
    <row r="16" spans="1:40" ht="20.100000000000001" customHeight="1">
      <c r="A16" s="20"/>
      <c r="B16" s="21"/>
      <c r="C16" s="21"/>
      <c r="Y16" s="101" t="s">
        <v>30</v>
      </c>
      <c r="Z16" s="101"/>
      <c r="AD16" s="101" t="s">
        <v>31</v>
      </c>
      <c r="AE16" s="101"/>
    </row>
    <row r="17" spans="1:40" ht="20.100000000000001" customHeight="1">
      <c r="A17" s="20"/>
      <c r="B17" s="21"/>
      <c r="C17" s="21"/>
      <c r="Y17" s="102" t="s">
        <v>32</v>
      </c>
      <c r="Z17" s="136" t="s">
        <v>33</v>
      </c>
      <c r="AA17" s="138"/>
      <c r="AB17" s="138"/>
      <c r="AC17" s="137"/>
      <c r="AD17" s="136" t="s">
        <v>31</v>
      </c>
      <c r="AE17" s="137"/>
    </row>
    <row r="18" spans="1:40" ht="20.100000000000001" customHeight="1">
      <c r="A18" s="20"/>
      <c r="B18" s="21"/>
      <c r="C18" s="21"/>
      <c r="Y18" s="102" t="s">
        <v>12</v>
      </c>
      <c r="Z18" s="139">
        <f>AVERAGE(AG8:AG15)</f>
        <v>4.1202177591792497E-3</v>
      </c>
      <c r="AA18" s="140"/>
      <c r="AB18" s="140"/>
      <c r="AC18" s="141"/>
      <c r="AD18" s="147">
        <f>MAX(AG8:AG15)</f>
        <v>5.4207119703261197E-3</v>
      </c>
      <c r="AE18" s="148"/>
    </row>
    <row r="19" spans="1:40" ht="20.100000000000001" customHeight="1">
      <c r="A19" s="20"/>
      <c r="B19" s="21"/>
      <c r="C19" s="21"/>
      <c r="Y19" s="102" t="s">
        <v>13</v>
      </c>
      <c r="Z19" s="139">
        <f>AVERAGE(AH8:AH15)</f>
        <v>5.5194850478758693E-3</v>
      </c>
      <c r="AA19" s="140"/>
      <c r="AB19" s="140"/>
      <c r="AC19" s="141"/>
      <c r="AD19" s="147">
        <f>MAX(AH8:AH15)</f>
        <v>6.1326516694352462E-3</v>
      </c>
      <c r="AE19" s="148"/>
    </row>
    <row r="21" spans="1:40" ht="20.100000000000001" customHeight="1">
      <c r="A21" s="1" t="s">
        <v>34</v>
      </c>
      <c r="B21" s="1"/>
      <c r="C21" s="1"/>
      <c r="W21"/>
      <c r="X21"/>
    </row>
    <row r="22" spans="1:40" ht="20.100000000000001" customHeight="1">
      <c r="I22" s="134" t="s">
        <v>2</v>
      </c>
      <c r="J22" s="134"/>
      <c r="K22" s="134"/>
      <c r="L22" s="134"/>
      <c r="M22" s="134"/>
      <c r="N22" s="134"/>
      <c r="O22" s="134"/>
      <c r="Q22" s="134" t="s">
        <v>3</v>
      </c>
      <c r="R22" s="134"/>
      <c r="S22" s="134"/>
      <c r="T22" s="134"/>
      <c r="U22" s="134"/>
      <c r="V22" s="134"/>
      <c r="W22" s="134"/>
      <c r="Y22" s="134" t="s">
        <v>4</v>
      </c>
      <c r="Z22" s="134"/>
      <c r="AA22" s="134"/>
      <c r="AB22" s="134"/>
      <c r="AC22" s="134"/>
      <c r="AD22" s="134"/>
      <c r="AE22" s="134"/>
    </row>
    <row r="23" spans="1:40" ht="20.100000000000001" customHeight="1">
      <c r="A23" s="121" t="s">
        <v>5</v>
      </c>
      <c r="B23" s="124" t="s">
        <v>35</v>
      </c>
      <c r="C23" s="125"/>
      <c r="D23" s="125"/>
      <c r="E23" s="125"/>
      <c r="F23" s="125"/>
      <c r="G23" s="126"/>
      <c r="I23" s="132" t="s">
        <v>7</v>
      </c>
      <c r="J23" s="133" t="s">
        <v>36</v>
      </c>
      <c r="K23" s="133"/>
      <c r="L23" s="133"/>
      <c r="M23" s="133"/>
      <c r="N23" s="133"/>
      <c r="O23" s="133"/>
      <c r="Q23" s="132" t="s">
        <v>7</v>
      </c>
      <c r="R23" s="133" t="s">
        <v>36</v>
      </c>
      <c r="S23" s="133"/>
      <c r="T23" s="133"/>
      <c r="U23" s="133"/>
      <c r="V23" s="133"/>
      <c r="W23" s="133"/>
      <c r="Y23" s="132" t="s">
        <v>7</v>
      </c>
      <c r="Z23" s="133" t="s">
        <v>36</v>
      </c>
      <c r="AA23" s="133"/>
      <c r="AB23" s="133"/>
      <c r="AC23" s="133"/>
      <c r="AD23" s="133"/>
      <c r="AE23" s="133"/>
    </row>
    <row r="24" spans="1:40" ht="20.100000000000001" customHeight="1">
      <c r="A24" s="122"/>
      <c r="B24" s="127"/>
      <c r="C24" s="128"/>
      <c r="D24" s="128"/>
      <c r="E24" s="128"/>
      <c r="F24" s="128"/>
      <c r="G24" s="129"/>
      <c r="I24" s="132"/>
      <c r="J24" s="133"/>
      <c r="K24" s="133"/>
      <c r="L24" s="133"/>
      <c r="M24" s="133"/>
      <c r="N24" s="133"/>
      <c r="O24" s="133"/>
      <c r="Q24" s="132"/>
      <c r="R24" s="133"/>
      <c r="S24" s="133"/>
      <c r="T24" s="133"/>
      <c r="U24" s="133"/>
      <c r="V24" s="133"/>
      <c r="W24" s="133"/>
      <c r="Y24" s="132"/>
      <c r="Z24" s="133"/>
      <c r="AA24" s="133"/>
      <c r="AB24" s="133"/>
      <c r="AC24" s="133"/>
      <c r="AD24" s="133"/>
      <c r="AE24" s="133"/>
      <c r="AG24" s="3" t="s">
        <v>9</v>
      </c>
    </row>
    <row r="25" spans="1:40" ht="29.25" customHeight="1">
      <c r="A25" s="122"/>
      <c r="B25" s="121" t="s">
        <v>10</v>
      </c>
      <c r="C25" s="121" t="s">
        <v>11</v>
      </c>
      <c r="D25" s="121" t="s">
        <v>12</v>
      </c>
      <c r="E25" s="121" t="s">
        <v>13</v>
      </c>
      <c r="F25" s="121" t="s">
        <v>14</v>
      </c>
      <c r="G25" s="130" t="s">
        <v>15</v>
      </c>
      <c r="I25" s="132"/>
      <c r="J25" s="28" t="s">
        <v>16</v>
      </c>
      <c r="K25" s="28" t="s">
        <v>17</v>
      </c>
      <c r="L25" s="28" t="s">
        <v>18</v>
      </c>
      <c r="M25" s="28" t="s">
        <v>19</v>
      </c>
      <c r="N25" s="28" t="s">
        <v>14</v>
      </c>
      <c r="O25" s="28" t="s">
        <v>15</v>
      </c>
      <c r="P25"/>
      <c r="Q25" s="132"/>
      <c r="R25" s="28" t="s">
        <v>16</v>
      </c>
      <c r="S25" s="28" t="s">
        <v>17</v>
      </c>
      <c r="T25" s="28" t="s">
        <v>18</v>
      </c>
      <c r="U25" s="28" t="s">
        <v>19</v>
      </c>
      <c r="V25" s="28" t="s">
        <v>14</v>
      </c>
      <c r="W25" s="28" t="s">
        <v>15</v>
      </c>
      <c r="X25"/>
      <c r="Y25" s="132"/>
      <c r="Z25" s="28" t="s">
        <v>16</v>
      </c>
      <c r="AA25" s="28" t="s">
        <v>17</v>
      </c>
      <c r="AB25" s="28" t="s">
        <v>18</v>
      </c>
      <c r="AC25" s="28" t="s">
        <v>19</v>
      </c>
      <c r="AD25" s="28" t="s">
        <v>14</v>
      </c>
      <c r="AE25" s="28" t="s">
        <v>15</v>
      </c>
      <c r="AF25" s="5"/>
      <c r="AG25" s="28" t="s">
        <v>18</v>
      </c>
      <c r="AH25" s="28" t="s">
        <v>19</v>
      </c>
      <c r="AI25" s="8"/>
      <c r="AJ25" s="5"/>
      <c r="AK25" s="6"/>
      <c r="AL25" s="7"/>
      <c r="AM25" s="8"/>
      <c r="AN25" s="5"/>
    </row>
    <row r="26" spans="1:40" ht="29.25" customHeight="1">
      <c r="A26" s="123"/>
      <c r="B26" s="123"/>
      <c r="C26" s="123"/>
      <c r="D26" s="123"/>
      <c r="E26" s="123"/>
      <c r="F26" s="123"/>
      <c r="G26" s="131"/>
      <c r="H26" s="22" t="s">
        <v>37</v>
      </c>
      <c r="I26" s="28" t="s">
        <v>20</v>
      </c>
      <c r="J26" s="28"/>
      <c r="K26" s="28"/>
      <c r="L26" s="28"/>
      <c r="M26" s="28"/>
      <c r="N26" s="28"/>
      <c r="O26" s="29"/>
      <c r="Q26" s="28" t="s">
        <v>20</v>
      </c>
      <c r="R26" s="28"/>
      <c r="S26" s="28"/>
      <c r="T26" s="28"/>
      <c r="U26" s="28"/>
      <c r="V26" s="28"/>
      <c r="W26" s="29"/>
      <c r="X26"/>
      <c r="Y26" s="28" t="s">
        <v>20</v>
      </c>
      <c r="Z26" s="28"/>
      <c r="AA26" s="28"/>
      <c r="AB26" s="28"/>
      <c r="AC26" s="28"/>
      <c r="AD26" s="28"/>
      <c r="AE26" s="29"/>
      <c r="AG26" s="9"/>
      <c r="AH26" s="9"/>
      <c r="AK26" s="9"/>
      <c r="AL26" s="9"/>
    </row>
    <row r="27" spans="1:40" ht="20.100000000000001" customHeight="1">
      <c r="A27" s="60" t="s">
        <v>21</v>
      </c>
      <c r="B27" s="32">
        <v>0.71809303068497987</v>
      </c>
      <c r="C27" s="32">
        <v>0.48699999999999999</v>
      </c>
      <c r="D27" s="119">
        <v>0.31520590280341704</v>
      </c>
      <c r="E27" s="120">
        <v>0.20401388328976836</v>
      </c>
      <c r="F27" s="32">
        <v>0.1320459553732698</v>
      </c>
      <c r="G27" s="33">
        <v>0.36844975296293397</v>
      </c>
      <c r="I27" s="65" t="s">
        <v>21</v>
      </c>
      <c r="J27" s="52">
        <v>0.71809303068497987</v>
      </c>
      <c r="K27" s="52">
        <v>0.48699999999999999</v>
      </c>
      <c r="L27" s="53">
        <v>0.32286891370812804</v>
      </c>
      <c r="M27" s="53">
        <v>0.21405407687693354</v>
      </c>
      <c r="N27" s="52">
        <v>0</v>
      </c>
      <c r="O27" s="54">
        <v>0.36844975296293397</v>
      </c>
      <c r="Q27" s="65" t="s">
        <v>21</v>
      </c>
      <c r="R27" s="52">
        <v>0.71809303068497987</v>
      </c>
      <c r="S27" s="52">
        <v>0.48699999999999999</v>
      </c>
      <c r="T27" s="53">
        <v>0.32142298339220116</v>
      </c>
      <c r="U27" s="53">
        <v>0.21214113809598198</v>
      </c>
      <c r="V27" s="52">
        <v>2.5000000000000001E-2</v>
      </c>
      <c r="W27" s="54">
        <v>0.36844975296293397</v>
      </c>
      <c r="Y27" s="65" t="s">
        <v>21</v>
      </c>
      <c r="Z27" s="52">
        <v>0.71809303068497987</v>
      </c>
      <c r="AA27" s="52">
        <v>0.48699999999999999</v>
      </c>
      <c r="AB27" s="53">
        <v>0.31997477970651639</v>
      </c>
      <c r="AC27" s="53">
        <v>0.2102337980456544</v>
      </c>
      <c r="AD27" s="52">
        <v>0.05</v>
      </c>
      <c r="AE27" s="54">
        <v>0.36844975296293397</v>
      </c>
      <c r="AH27" s="10"/>
      <c r="AL27" s="10"/>
    </row>
    <row r="28" spans="1:40" ht="20.100000000000001" customHeight="1">
      <c r="A28" s="61" t="s">
        <v>22</v>
      </c>
      <c r="B28" s="55">
        <v>0.72713545453007644</v>
      </c>
      <c r="C28" s="56">
        <v>0.77200000000000002</v>
      </c>
      <c r="D28" s="23">
        <v>0.20529354548405254</v>
      </c>
      <c r="E28" s="46">
        <v>5.4592538623591647E-2</v>
      </c>
      <c r="F28" s="55">
        <v>1.4517481620482133E-2</v>
      </c>
      <c r="G28" s="39">
        <v>0.40239454216425058</v>
      </c>
      <c r="I28" s="65" t="s">
        <v>22</v>
      </c>
      <c r="J28" s="52">
        <v>0.72713545453007644</v>
      </c>
      <c r="K28" s="52">
        <v>0.77200000000000002</v>
      </c>
      <c r="L28" s="53">
        <v>0.20658088994935725</v>
      </c>
      <c r="M28" s="53">
        <v>5.5279357632472083E-2</v>
      </c>
      <c r="N28" s="52">
        <v>0</v>
      </c>
      <c r="O28" s="54">
        <v>0.40239454216425058</v>
      </c>
      <c r="Q28" s="65" t="s">
        <v>22</v>
      </c>
      <c r="R28" s="92">
        <v>0.72713545453007644</v>
      </c>
      <c r="S28" s="92">
        <v>0.77200000000000002</v>
      </c>
      <c r="T28" s="93">
        <v>0.20436303354859681</v>
      </c>
      <c r="U28" s="93">
        <v>5.4098768758011534E-2</v>
      </c>
      <c r="V28" s="92">
        <v>2.5000000000000001E-2</v>
      </c>
      <c r="W28" s="54">
        <v>0.40239454216425058</v>
      </c>
      <c r="Y28" s="65" t="s">
        <v>22</v>
      </c>
      <c r="Z28" s="52">
        <v>0.72713545453007644</v>
      </c>
      <c r="AA28" s="52">
        <v>0.77200000000000002</v>
      </c>
      <c r="AB28" s="53">
        <v>0.20214053798605375</v>
      </c>
      <c r="AC28" s="53">
        <v>5.2928493649340977E-2</v>
      </c>
      <c r="AD28" s="52">
        <v>0.05</v>
      </c>
      <c r="AE28" s="54">
        <v>0.40239454216425058</v>
      </c>
      <c r="AG28" s="113">
        <f>ABS(L28-AB28)</f>
        <v>4.4403519633035016E-3</v>
      </c>
      <c r="AH28" s="113">
        <f>ABS(M28-AC28)</f>
        <v>2.3508639831311059E-3</v>
      </c>
      <c r="AL28" s="10"/>
    </row>
    <row r="29" spans="1:40" ht="20.100000000000001" customHeight="1">
      <c r="A29" s="62" t="s">
        <v>23</v>
      </c>
      <c r="B29" s="47">
        <v>0.70126634311431169</v>
      </c>
      <c r="C29" s="57">
        <v>0.433</v>
      </c>
      <c r="D29" s="23">
        <f t="shared" ref="D29:D35" si="2">G29</f>
        <v>0.34703407213046444</v>
      </c>
      <c r="E29" s="46">
        <v>0.22284209553113077</v>
      </c>
      <c r="F29" s="47">
        <v>0.15986445169698907</v>
      </c>
      <c r="G29" s="44">
        <v>0.34703407213046444</v>
      </c>
      <c r="I29" s="65" t="s">
        <v>23</v>
      </c>
      <c r="J29" s="52">
        <v>0.70126634311431169</v>
      </c>
      <c r="K29" s="52">
        <v>0.433</v>
      </c>
      <c r="L29" s="53">
        <v>0.31856994898491647</v>
      </c>
      <c r="M29" s="53">
        <v>0.23438062909065194</v>
      </c>
      <c r="N29" s="52">
        <v>0</v>
      </c>
      <c r="O29" s="54">
        <v>0.34703407213046444</v>
      </c>
      <c r="Q29" s="65" t="s">
        <v>23</v>
      </c>
      <c r="R29" s="52">
        <v>0.70126634311431169</v>
      </c>
      <c r="S29" s="52">
        <v>0.433</v>
      </c>
      <c r="T29" s="53">
        <v>0.31733304157217929</v>
      </c>
      <c r="U29" s="53">
        <v>0.23256410917655998</v>
      </c>
      <c r="V29" s="52">
        <v>2.5000000000000001E-2</v>
      </c>
      <c r="W29" s="54">
        <v>0.34703407213046444</v>
      </c>
      <c r="Y29" s="65" t="s">
        <v>23</v>
      </c>
      <c r="Z29" s="52">
        <v>0.70126634311431169</v>
      </c>
      <c r="AA29" s="52">
        <v>0.433</v>
      </c>
      <c r="AB29" s="53">
        <v>0.31609434583758927</v>
      </c>
      <c r="AC29" s="53">
        <v>0.23075204496649765</v>
      </c>
      <c r="AD29" s="52">
        <v>0.05</v>
      </c>
      <c r="AE29" s="54">
        <v>0.34703407213046444</v>
      </c>
      <c r="AG29" s="113">
        <f t="shared" ref="AG29:AG34" si="3">ABS(L29-AB29)</f>
        <v>2.4756031473271989E-3</v>
      </c>
      <c r="AH29" s="113">
        <f t="shared" ref="AH29:AH35" si="4">ABS(M29-AC29)</f>
        <v>3.6285841241542882E-3</v>
      </c>
      <c r="AL29" s="10"/>
    </row>
    <row r="30" spans="1:40" ht="20.100000000000001" customHeight="1">
      <c r="A30" s="63" t="s">
        <v>24</v>
      </c>
      <c r="B30" s="47">
        <v>0.72548897328704942</v>
      </c>
      <c r="C30" s="57">
        <v>0.55700000000000005</v>
      </c>
      <c r="D30" s="23">
        <f t="shared" si="2"/>
        <v>0.39524702203717538</v>
      </c>
      <c r="E30" s="46">
        <v>0.18690341452777662</v>
      </c>
      <c r="F30" s="47">
        <v>0.10826753667658821</v>
      </c>
      <c r="G30" s="58">
        <v>0.39524702203717538</v>
      </c>
      <c r="H30" s="8"/>
      <c r="I30" s="65" t="s">
        <v>24</v>
      </c>
      <c r="J30" s="52">
        <v>0.72548897328704942</v>
      </c>
      <c r="K30" s="52">
        <v>0.55700000000000005</v>
      </c>
      <c r="L30" s="53">
        <v>0.32938998759036375</v>
      </c>
      <c r="M30" s="53">
        <v>0.19478952230660676</v>
      </c>
      <c r="N30" s="52">
        <v>0</v>
      </c>
      <c r="O30" s="54">
        <v>0.39524702203717538</v>
      </c>
      <c r="P30"/>
      <c r="Q30" s="65" t="s">
        <v>24</v>
      </c>
      <c r="R30" s="52">
        <v>0.72548897328704942</v>
      </c>
      <c r="S30" s="52">
        <v>0.55700000000000005</v>
      </c>
      <c r="T30" s="53">
        <v>0.32783847569526137</v>
      </c>
      <c r="U30" s="53">
        <v>0.19295882611524681</v>
      </c>
      <c r="V30" s="52">
        <v>2.5000000000000001E-2</v>
      </c>
      <c r="W30" s="54">
        <v>0.39524702203717538</v>
      </c>
      <c r="X30"/>
      <c r="Y30" s="65" t="s">
        <v>24</v>
      </c>
      <c r="Z30" s="52">
        <v>0.72548897328704942</v>
      </c>
      <c r="AA30" s="52">
        <v>0.55700000000000005</v>
      </c>
      <c r="AB30" s="53">
        <v>0.32628454954678354</v>
      </c>
      <c r="AC30" s="53">
        <v>0.19113394483473509</v>
      </c>
      <c r="AD30" s="52">
        <v>0.05</v>
      </c>
      <c r="AE30" s="54">
        <v>0.39524702203717538</v>
      </c>
      <c r="AF30" s="11"/>
      <c r="AG30" s="113">
        <f t="shared" si="3"/>
        <v>3.1054380435802109E-3</v>
      </c>
      <c r="AH30" s="113">
        <f t="shared" si="4"/>
        <v>3.6555774718716738E-3</v>
      </c>
      <c r="AI30" s="14"/>
      <c r="AJ30" s="11"/>
      <c r="AL30" s="10"/>
      <c r="AM30" s="14"/>
      <c r="AN30" s="15"/>
    </row>
    <row r="31" spans="1:40" ht="20.100000000000001" customHeight="1">
      <c r="A31" s="62" t="s">
        <v>25</v>
      </c>
      <c r="B31" s="47">
        <v>0.76738064924278304</v>
      </c>
      <c r="C31" s="57">
        <v>0.61699999999999999</v>
      </c>
      <c r="D31" s="23">
        <f t="shared" si="2"/>
        <v>0.50379026590122322</v>
      </c>
      <c r="E31" s="46">
        <v>0.33759368955347691</v>
      </c>
      <c r="F31" s="47">
        <v>0.2497174537562408</v>
      </c>
      <c r="G31" s="44">
        <v>0.50379026590122322</v>
      </c>
      <c r="I31" s="65" t="s">
        <v>25</v>
      </c>
      <c r="J31" s="52">
        <v>0.76738064924278304</v>
      </c>
      <c r="K31" s="52">
        <v>0.61699999999999999</v>
      </c>
      <c r="L31" s="53">
        <v>0.46918100712767691</v>
      </c>
      <c r="M31" s="53">
        <v>0.35677604124690632</v>
      </c>
      <c r="N31" s="52">
        <v>0</v>
      </c>
      <c r="O31" s="54">
        <v>0.50379026590122322</v>
      </c>
      <c r="Q31" s="65" t="s">
        <v>25</v>
      </c>
      <c r="R31" s="52">
        <v>0.76738064924278304</v>
      </c>
      <c r="S31" s="52">
        <v>0.61699999999999999</v>
      </c>
      <c r="T31" s="53">
        <v>0.46790674260144788</v>
      </c>
      <c r="U31" s="53">
        <v>0.35484071275834295</v>
      </c>
      <c r="V31" s="52">
        <v>2.5000000000000001E-2</v>
      </c>
      <c r="W31" s="54">
        <v>0.50379026590122322</v>
      </c>
      <c r="Y31" s="65" t="s">
        <v>25</v>
      </c>
      <c r="Z31" s="52">
        <v>0.76738064924278304</v>
      </c>
      <c r="AA31" s="52">
        <v>0.61699999999999999</v>
      </c>
      <c r="AB31" s="53">
        <v>0.46663117554082556</v>
      </c>
      <c r="AC31" s="53">
        <v>0.35290867744993965</v>
      </c>
      <c r="AD31" s="52">
        <v>0.05</v>
      </c>
      <c r="AE31" s="54">
        <v>0.50379026590122322</v>
      </c>
      <c r="AG31" s="113">
        <f t="shared" si="3"/>
        <v>2.5498315868513477E-3</v>
      </c>
      <c r="AH31" s="113">
        <f t="shared" si="4"/>
        <v>3.8673637969666719E-3</v>
      </c>
      <c r="AL31" s="16"/>
    </row>
    <row r="32" spans="1:40" ht="20.100000000000001" customHeight="1">
      <c r="A32" s="62" t="s">
        <v>26</v>
      </c>
      <c r="B32" s="47">
        <v>0.75952612603289871</v>
      </c>
      <c r="C32" s="57">
        <v>0.28899999999999998</v>
      </c>
      <c r="D32" s="23">
        <f t="shared" si="2"/>
        <v>0.23824629841981146</v>
      </c>
      <c r="E32" s="46">
        <v>0.16170052641629867</v>
      </c>
      <c r="F32" s="47">
        <v>0.12095344132107348</v>
      </c>
      <c r="G32" s="44">
        <v>0.23824629841981146</v>
      </c>
      <c r="H32" s="19"/>
      <c r="I32" s="65" t="s">
        <v>26</v>
      </c>
      <c r="J32" s="52">
        <v>0.75952612603289871</v>
      </c>
      <c r="K32" s="52">
        <v>0.28899999999999998</v>
      </c>
      <c r="L32" s="53">
        <v>0.2221723494661505</v>
      </c>
      <c r="M32" s="53">
        <v>0.17079776078653741</v>
      </c>
      <c r="N32" s="52">
        <v>0</v>
      </c>
      <c r="O32" s="54">
        <v>0.23824629841981146</v>
      </c>
      <c r="Q32" s="65" t="s">
        <v>26</v>
      </c>
      <c r="R32" s="52">
        <v>0.75952612603289871</v>
      </c>
      <c r="S32" s="52">
        <v>0.28899999999999998</v>
      </c>
      <c r="T32" s="53">
        <v>0.22093772528590006</v>
      </c>
      <c r="U32" s="53">
        <v>0.16890476973878146</v>
      </c>
      <c r="V32" s="52">
        <v>2.5000000000000001E-2</v>
      </c>
      <c r="W32" s="54">
        <v>0.23824629841981146</v>
      </c>
      <c r="Y32" s="65" t="s">
        <v>26</v>
      </c>
      <c r="Z32" s="52">
        <v>0.75952612603289871</v>
      </c>
      <c r="AA32" s="52">
        <v>0.28899999999999998</v>
      </c>
      <c r="AB32" s="53">
        <v>0.21970048038783768</v>
      </c>
      <c r="AC32" s="53">
        <v>0.16701834284652822</v>
      </c>
      <c r="AD32" s="52">
        <v>0.05</v>
      </c>
      <c r="AE32" s="54">
        <v>0.23824629841981146</v>
      </c>
      <c r="AG32" s="113">
        <f t="shared" si="3"/>
        <v>2.4718690783128161E-3</v>
      </c>
      <c r="AH32" s="113">
        <f t="shared" si="4"/>
        <v>3.7794179400091887E-3</v>
      </c>
    </row>
    <row r="33" spans="1:40" ht="20.100000000000001" customHeight="1">
      <c r="A33" s="63" t="s">
        <v>27</v>
      </c>
      <c r="B33" s="47">
        <v>0.80165912626677061</v>
      </c>
      <c r="C33" s="57">
        <v>0.48099999999999998</v>
      </c>
      <c r="D33" s="23">
        <f t="shared" si="2"/>
        <v>0.37116587963796821</v>
      </c>
      <c r="E33" s="46">
        <v>0.21317931444759808</v>
      </c>
      <c r="F33" s="47">
        <v>0.14192047422820064</v>
      </c>
      <c r="G33" s="58">
        <v>0.37116587963796821</v>
      </c>
      <c r="I33" s="65" t="s">
        <v>27</v>
      </c>
      <c r="J33" s="52">
        <v>0.80165912626677061</v>
      </c>
      <c r="K33" s="52">
        <v>0.48099999999999998</v>
      </c>
      <c r="L33" s="53">
        <v>0.32776545854870753</v>
      </c>
      <c r="M33" s="53">
        <v>0.22334760045248342</v>
      </c>
      <c r="N33" s="52">
        <v>0</v>
      </c>
      <c r="O33" s="54">
        <v>0.37116587963796821</v>
      </c>
      <c r="Q33" s="65" t="s">
        <v>27</v>
      </c>
      <c r="R33" s="52">
        <v>0.80165912626677061</v>
      </c>
      <c r="S33" s="52">
        <v>0.48099999999999998</v>
      </c>
      <c r="T33" s="53">
        <v>0.32644028551815713</v>
      </c>
      <c r="U33" s="53">
        <v>0.22154523910431589</v>
      </c>
      <c r="V33" s="52">
        <v>2.5000000000000001E-2</v>
      </c>
      <c r="W33" s="54">
        <v>0.37116587963796821</v>
      </c>
      <c r="Y33" s="65" t="s">
        <v>27</v>
      </c>
      <c r="Z33" s="52">
        <v>0.80165912626677061</v>
      </c>
      <c r="AA33" s="52">
        <v>0.48099999999999998</v>
      </c>
      <c r="AB33" s="53">
        <v>0.32511322511576862</v>
      </c>
      <c r="AC33" s="53">
        <v>0.21974762816045001</v>
      </c>
      <c r="AD33" s="52">
        <v>0.05</v>
      </c>
      <c r="AE33" s="54">
        <v>0.37116587963796821</v>
      </c>
      <c r="AG33" s="113">
        <f t="shared" si="3"/>
        <v>2.6522334329389108E-3</v>
      </c>
      <c r="AH33" s="113">
        <f t="shared" si="4"/>
        <v>3.5999722920334043E-3</v>
      </c>
    </row>
    <row r="34" spans="1:40" ht="20.100000000000001" customHeight="1">
      <c r="A34" s="63" t="s">
        <v>28</v>
      </c>
      <c r="B34" s="47">
        <v>0.72395013448789758</v>
      </c>
      <c r="C34" s="57">
        <v>0.30599999999999999</v>
      </c>
      <c r="D34" s="23">
        <f t="shared" si="2"/>
        <v>0.24239223666167645</v>
      </c>
      <c r="E34" s="46">
        <v>0.1465777892200443</v>
      </c>
      <c r="F34" s="47">
        <v>0.10144754399724673</v>
      </c>
      <c r="G34" s="58">
        <v>0.24239223666167645</v>
      </c>
      <c r="I34" s="65" t="s">
        <v>28</v>
      </c>
      <c r="J34" s="52">
        <v>0.72395013448789758</v>
      </c>
      <c r="K34" s="52">
        <v>0.30599999999999999</v>
      </c>
      <c r="L34" s="53">
        <v>0.21744929167607788</v>
      </c>
      <c r="M34" s="53">
        <v>0.15452351127590847</v>
      </c>
      <c r="N34" s="52">
        <v>0</v>
      </c>
      <c r="O34" s="54">
        <v>0.24239223666167645</v>
      </c>
      <c r="Q34" s="65" t="s">
        <v>28</v>
      </c>
      <c r="R34" s="52">
        <v>0.72395013448789758</v>
      </c>
      <c r="S34" s="52">
        <v>0.30599999999999999</v>
      </c>
      <c r="T34" s="53">
        <v>0.2160582940042847</v>
      </c>
      <c r="U34" s="53">
        <v>0.15255289675830694</v>
      </c>
      <c r="V34" s="52">
        <v>2.5000000000000001E-2</v>
      </c>
      <c r="W34" s="54">
        <v>0.24239223666167645</v>
      </c>
      <c r="Y34" s="65" t="s">
        <v>28</v>
      </c>
      <c r="Z34" s="52">
        <v>0.72395013448789758</v>
      </c>
      <c r="AA34" s="52">
        <v>0.30599999999999999</v>
      </c>
      <c r="AB34" s="53">
        <v>0.2146640952954568</v>
      </c>
      <c r="AC34" s="53">
        <v>0.15059043728436916</v>
      </c>
      <c r="AD34" s="52">
        <v>0.05</v>
      </c>
      <c r="AE34" s="54">
        <v>0.24239223666167645</v>
      </c>
      <c r="AG34" s="113">
        <f t="shared" si="3"/>
        <v>2.78519638062108E-3</v>
      </c>
      <c r="AH34" s="113">
        <f t="shared" si="4"/>
        <v>3.9330739915393043E-3</v>
      </c>
    </row>
    <row r="35" spans="1:40" ht="20.100000000000001" customHeight="1">
      <c r="A35" s="64" t="s">
        <v>29</v>
      </c>
      <c r="B35" s="51">
        <v>0.55341789551569565</v>
      </c>
      <c r="C35" s="59">
        <v>0.52200000000000002</v>
      </c>
      <c r="D35" s="23">
        <f t="shared" si="2"/>
        <v>0.43265938194876608</v>
      </c>
      <c r="E35" s="46">
        <v>0.29917330062309089</v>
      </c>
      <c r="F35" s="51">
        <v>0.22648998223647387</v>
      </c>
      <c r="G35" s="50">
        <v>0.43265938194876608</v>
      </c>
      <c r="I35" s="65" t="s">
        <v>29</v>
      </c>
      <c r="J35" s="52">
        <v>0.55341789551569565</v>
      </c>
      <c r="K35" s="52">
        <v>0.52200000000000002</v>
      </c>
      <c r="L35" s="53">
        <v>0.40904974979564962</v>
      </c>
      <c r="M35" s="53">
        <v>0.320539650972957</v>
      </c>
      <c r="N35" s="52">
        <v>0</v>
      </c>
      <c r="O35" s="54">
        <v>0.43265938194876608</v>
      </c>
      <c r="Q35" s="65" t="s">
        <v>29</v>
      </c>
      <c r="R35" s="52">
        <v>0.55341789551569565</v>
      </c>
      <c r="S35" s="52">
        <v>0.52200000000000002</v>
      </c>
      <c r="T35" s="53">
        <v>0.40752785492330224</v>
      </c>
      <c r="U35" s="53">
        <v>0.31815891290878939</v>
      </c>
      <c r="V35" s="52">
        <v>2.5000000000000001E-2</v>
      </c>
      <c r="W35" s="54">
        <v>0.43265938194876608</v>
      </c>
      <c r="Y35" s="65" t="s">
        <v>29</v>
      </c>
      <c r="Z35" s="52">
        <v>0.55341789551569565</v>
      </c>
      <c r="AA35" s="52">
        <v>0.52200000000000002</v>
      </c>
      <c r="AB35" s="53">
        <v>0.40600377922184078</v>
      </c>
      <c r="AC35" s="53">
        <v>0.315783656594669</v>
      </c>
      <c r="AD35" s="52">
        <v>0.05</v>
      </c>
      <c r="AE35" s="54">
        <v>0.43265938194876608</v>
      </c>
      <c r="AG35" s="113">
        <f>ABS(L35-AB35)</f>
        <v>3.0459705738088427E-3</v>
      </c>
      <c r="AH35" s="113">
        <f t="shared" si="4"/>
        <v>4.7559943782879976E-3</v>
      </c>
    </row>
    <row r="36" spans="1:40" ht="15">
      <c r="Y36" s="101" t="s">
        <v>30</v>
      </c>
      <c r="Z36" s="101"/>
      <c r="AD36" s="101" t="s">
        <v>31</v>
      </c>
      <c r="AE36" s="101"/>
    </row>
    <row r="37" spans="1:40">
      <c r="Y37" s="102" t="s">
        <v>32</v>
      </c>
      <c r="Z37" s="136" t="s">
        <v>33</v>
      </c>
      <c r="AA37" s="138"/>
      <c r="AB37" s="138"/>
      <c r="AC37" s="137"/>
      <c r="AD37" s="136" t="s">
        <v>31</v>
      </c>
      <c r="AE37" s="137"/>
    </row>
    <row r="38" spans="1:40">
      <c r="Y38" s="102" t="s">
        <v>12</v>
      </c>
      <c r="Z38" s="139">
        <f>AVERAGE(AG28:AG35)</f>
        <v>2.9408117758429886E-3</v>
      </c>
      <c r="AA38" s="140"/>
      <c r="AB38" s="140"/>
      <c r="AC38" s="141"/>
      <c r="AD38" s="147">
        <f>MAX(AG28:AG35)</f>
        <v>4.4403519633035016E-3</v>
      </c>
      <c r="AE38" s="148"/>
    </row>
    <row r="39" spans="1:40" ht="20.100000000000001" customHeight="1">
      <c r="A39" s="1" t="s">
        <v>38</v>
      </c>
      <c r="B39" s="1"/>
      <c r="C39" s="1"/>
      <c r="W39"/>
      <c r="X39"/>
      <c r="Y39" s="102" t="s">
        <v>13</v>
      </c>
      <c r="Z39" s="139">
        <f>AVERAGE(AH28:AH35)</f>
        <v>3.6963559972492043E-3</v>
      </c>
      <c r="AA39" s="140"/>
      <c r="AB39" s="140"/>
      <c r="AC39" s="141"/>
      <c r="AD39" s="147">
        <f>MAX(AH28:AH35)</f>
        <v>4.7559943782879976E-3</v>
      </c>
      <c r="AE39" s="148"/>
    </row>
    <row r="40" spans="1:40" ht="20.100000000000001" customHeight="1">
      <c r="I40" s="134" t="s">
        <v>2</v>
      </c>
      <c r="J40" s="134"/>
      <c r="K40" s="134"/>
      <c r="L40" s="134"/>
      <c r="M40" s="134"/>
      <c r="N40" s="134"/>
      <c r="O40" s="134"/>
      <c r="Q40" s="134" t="s">
        <v>3</v>
      </c>
      <c r="R40" s="134"/>
      <c r="S40" s="134"/>
      <c r="T40" s="134"/>
      <c r="U40" s="134"/>
      <c r="V40" s="134"/>
      <c r="W40" s="134"/>
      <c r="Y40" s="135" t="s">
        <v>4</v>
      </c>
      <c r="Z40" s="135"/>
      <c r="AA40" s="135"/>
      <c r="AB40" s="135"/>
      <c r="AC40" s="135"/>
      <c r="AD40" s="135"/>
      <c r="AE40" s="135"/>
    </row>
    <row r="41" spans="1:40" ht="20.100000000000001" customHeight="1">
      <c r="A41" s="121" t="s">
        <v>5</v>
      </c>
      <c r="B41" s="124" t="s">
        <v>39</v>
      </c>
      <c r="C41" s="125"/>
      <c r="D41" s="125"/>
      <c r="E41" s="125"/>
      <c r="F41" s="125"/>
      <c r="G41" s="126"/>
      <c r="I41" s="132" t="s">
        <v>7</v>
      </c>
      <c r="J41" s="133" t="s">
        <v>40</v>
      </c>
      <c r="K41" s="133"/>
      <c r="L41" s="133"/>
      <c r="M41" s="133"/>
      <c r="N41" s="133"/>
      <c r="O41" s="133"/>
      <c r="Q41" s="132" t="s">
        <v>7</v>
      </c>
      <c r="R41" s="133" t="s">
        <v>40</v>
      </c>
      <c r="S41" s="133"/>
      <c r="T41" s="133"/>
      <c r="U41" s="133"/>
      <c r="V41" s="133"/>
      <c r="W41" s="133"/>
      <c r="Y41" s="132" t="s">
        <v>7</v>
      </c>
      <c r="Z41" s="133" t="s">
        <v>40</v>
      </c>
      <c r="AA41" s="133"/>
      <c r="AB41" s="133"/>
      <c r="AC41" s="133"/>
      <c r="AD41" s="133"/>
      <c r="AE41" s="133"/>
    </row>
    <row r="42" spans="1:40" ht="20.100000000000001" customHeight="1">
      <c r="A42" s="122"/>
      <c r="B42" s="127"/>
      <c r="C42" s="128"/>
      <c r="D42" s="128"/>
      <c r="E42" s="128"/>
      <c r="F42" s="128"/>
      <c r="G42" s="129"/>
      <c r="I42" s="132"/>
      <c r="J42" s="133"/>
      <c r="K42" s="133"/>
      <c r="L42" s="133"/>
      <c r="M42" s="133"/>
      <c r="N42" s="133"/>
      <c r="O42" s="133"/>
      <c r="Q42" s="132"/>
      <c r="R42" s="133"/>
      <c r="S42" s="133"/>
      <c r="T42" s="133"/>
      <c r="U42" s="133"/>
      <c r="V42" s="133"/>
      <c r="W42" s="133"/>
      <c r="Y42" s="132"/>
      <c r="Z42" s="133"/>
      <c r="AA42" s="133"/>
      <c r="AB42" s="133"/>
      <c r="AC42" s="133"/>
      <c r="AD42" s="133"/>
      <c r="AE42" s="133"/>
      <c r="AG42" s="3" t="s">
        <v>9</v>
      </c>
    </row>
    <row r="43" spans="1:40" ht="29.25" customHeight="1">
      <c r="A43" s="122"/>
      <c r="B43" s="121" t="s">
        <v>10</v>
      </c>
      <c r="C43" s="121" t="s">
        <v>11</v>
      </c>
      <c r="D43" s="121" t="s">
        <v>12</v>
      </c>
      <c r="E43" s="121" t="s">
        <v>13</v>
      </c>
      <c r="F43" s="121" t="s">
        <v>14</v>
      </c>
      <c r="G43" s="130" t="s">
        <v>15</v>
      </c>
      <c r="I43" s="132"/>
      <c r="J43" s="28" t="s">
        <v>16</v>
      </c>
      <c r="K43" s="28" t="s">
        <v>17</v>
      </c>
      <c r="L43" s="28" t="s">
        <v>18</v>
      </c>
      <c r="M43" s="28" t="s">
        <v>19</v>
      </c>
      <c r="N43" s="28" t="s">
        <v>14</v>
      </c>
      <c r="O43" s="28" t="s">
        <v>15</v>
      </c>
      <c r="P43"/>
      <c r="Q43" s="132"/>
      <c r="R43" s="28" t="s">
        <v>16</v>
      </c>
      <c r="S43" s="28" t="s">
        <v>17</v>
      </c>
      <c r="T43" s="28" t="s">
        <v>18</v>
      </c>
      <c r="U43" s="28" t="s">
        <v>19</v>
      </c>
      <c r="V43" s="28" t="s">
        <v>14</v>
      </c>
      <c r="W43" s="28" t="s">
        <v>15</v>
      </c>
      <c r="X43"/>
      <c r="Y43" s="132"/>
      <c r="Z43" s="28" t="s">
        <v>16</v>
      </c>
      <c r="AA43" s="28" t="s">
        <v>17</v>
      </c>
      <c r="AB43" s="28" t="s">
        <v>18</v>
      </c>
      <c r="AC43" s="28" t="s">
        <v>19</v>
      </c>
      <c r="AD43" s="28" t="s">
        <v>14</v>
      </c>
      <c r="AE43" s="28" t="s">
        <v>15</v>
      </c>
      <c r="AF43" s="5"/>
      <c r="AG43" s="28" t="s">
        <v>18</v>
      </c>
      <c r="AH43" s="28" t="s">
        <v>19</v>
      </c>
      <c r="AI43" s="8"/>
      <c r="AJ43" s="5"/>
      <c r="AK43" s="6"/>
      <c r="AL43" s="7"/>
      <c r="AM43" s="8"/>
      <c r="AN43" s="5"/>
    </row>
    <row r="44" spans="1:40" ht="29.25" customHeight="1">
      <c r="A44" s="123"/>
      <c r="B44" s="123"/>
      <c r="C44" s="123"/>
      <c r="D44" s="123"/>
      <c r="E44" s="123"/>
      <c r="F44" s="123"/>
      <c r="G44" s="131"/>
      <c r="I44" s="28" t="s">
        <v>20</v>
      </c>
      <c r="J44" s="28"/>
      <c r="K44" s="28"/>
      <c r="L44" s="28"/>
      <c r="M44" s="28"/>
      <c r="N44" s="28"/>
      <c r="O44" s="29"/>
      <c r="Q44" s="28" t="s">
        <v>20</v>
      </c>
      <c r="R44" s="28"/>
      <c r="S44" s="28"/>
      <c r="T44" s="28"/>
      <c r="U44" s="28"/>
      <c r="V44" s="28"/>
      <c r="W44" s="29"/>
      <c r="X44"/>
      <c r="Y44" s="28" t="s">
        <v>20</v>
      </c>
      <c r="Z44" s="28"/>
      <c r="AA44" s="28"/>
      <c r="AB44" s="28"/>
      <c r="AC44" s="28"/>
      <c r="AD44" s="28"/>
      <c r="AE44" s="29"/>
      <c r="AG44" s="9"/>
      <c r="AH44" s="9"/>
      <c r="AK44" s="9"/>
      <c r="AL44" s="9"/>
    </row>
    <row r="45" spans="1:40" ht="20.100000000000001" customHeight="1">
      <c r="A45" s="60" t="s">
        <v>21</v>
      </c>
      <c r="B45" s="32">
        <v>0.69451727471827707</v>
      </c>
      <c r="C45" s="31">
        <v>0.502</v>
      </c>
      <c r="D45" s="119">
        <v>0.33820820570148513</v>
      </c>
      <c r="E45" s="120">
        <v>0.22785814821477704</v>
      </c>
      <c r="F45" s="32">
        <v>0.15351293916769482</v>
      </c>
      <c r="G45" s="33">
        <v>0.36385884055015089</v>
      </c>
      <c r="I45" s="65" t="s">
        <v>21</v>
      </c>
      <c r="J45" s="52">
        <v>0.69451727471827707</v>
      </c>
      <c r="K45" s="52">
        <v>0.502</v>
      </c>
      <c r="L45" s="53">
        <v>0.35338061393145043</v>
      </c>
      <c r="M45" s="53">
        <v>0.24876067390949966</v>
      </c>
      <c r="N45" s="52">
        <v>0</v>
      </c>
      <c r="O45" s="54">
        <v>0.36385884055015089</v>
      </c>
      <c r="Q45" s="65" t="s">
        <v>21</v>
      </c>
      <c r="R45" s="52">
        <v>0.69451727471827707</v>
      </c>
      <c r="S45" s="52">
        <v>0.502</v>
      </c>
      <c r="T45" s="53">
        <v>0.35092929444309423</v>
      </c>
      <c r="U45" s="53">
        <v>0.24532145358232654</v>
      </c>
      <c r="V45" s="52">
        <v>2.5000000000000001E-2</v>
      </c>
      <c r="W45" s="54">
        <v>0.36385884055015089</v>
      </c>
      <c r="Y45" s="65" t="s">
        <v>21</v>
      </c>
      <c r="Z45" s="52">
        <v>0.69451727471827707</v>
      </c>
      <c r="AA45" s="52">
        <v>0.502</v>
      </c>
      <c r="AB45" s="53">
        <v>0.3484704663000488</v>
      </c>
      <c r="AC45" s="53">
        <v>0.24189574877166026</v>
      </c>
      <c r="AD45" s="52">
        <v>0.05</v>
      </c>
      <c r="AE45" s="54">
        <v>0.36385884055015089</v>
      </c>
      <c r="AH45" s="10"/>
      <c r="AL45" s="10"/>
    </row>
    <row r="46" spans="1:40" ht="20.100000000000001" customHeight="1">
      <c r="A46" s="61" t="s">
        <v>22</v>
      </c>
      <c r="B46" s="55">
        <v>0.62886321406981605</v>
      </c>
      <c r="C46" s="56">
        <v>0.74399999999999999</v>
      </c>
      <c r="D46" s="23">
        <v>0.31434622193725986</v>
      </c>
      <c r="E46" s="46">
        <v>0.13281390758901754</v>
      </c>
      <c r="F46" s="55">
        <v>5.6114986655016172E-2</v>
      </c>
      <c r="G46" s="39">
        <v>0.40430821109568588</v>
      </c>
      <c r="I46" s="65" t="s">
        <v>22</v>
      </c>
      <c r="J46" s="52">
        <v>0.62886321406981605</v>
      </c>
      <c r="K46" s="52">
        <v>0.74399999999999999</v>
      </c>
      <c r="L46" s="53">
        <v>0.3210866301581034</v>
      </c>
      <c r="M46" s="53">
        <v>0.13857073127189071</v>
      </c>
      <c r="N46" s="52">
        <v>0</v>
      </c>
      <c r="O46" s="54">
        <v>0.40430821109568588</v>
      </c>
      <c r="Q46" s="65" t="s">
        <v>22</v>
      </c>
      <c r="R46" s="52">
        <v>0.62886321406981605</v>
      </c>
      <c r="S46" s="52">
        <v>0.74399999999999999</v>
      </c>
      <c r="T46" s="53">
        <v>0.31808945182166315</v>
      </c>
      <c r="U46" s="53">
        <v>0.13599583247339536</v>
      </c>
      <c r="V46" s="52">
        <v>2.5000000000000001E-2</v>
      </c>
      <c r="W46" s="54">
        <v>0.40430821109568588</v>
      </c>
      <c r="Y46" s="65" t="s">
        <v>22</v>
      </c>
      <c r="Z46" s="52">
        <v>0.62886321406981605</v>
      </c>
      <c r="AA46" s="52">
        <v>0.74399999999999999</v>
      </c>
      <c r="AB46" s="53">
        <v>0.31508301418169227</v>
      </c>
      <c r="AC46" s="53">
        <v>0.13343723901319959</v>
      </c>
      <c r="AD46" s="52">
        <v>0.05</v>
      </c>
      <c r="AE46" s="54">
        <v>0.40430821109568588</v>
      </c>
      <c r="AG46" s="113">
        <f>ABS(L46-AB46)</f>
        <v>6.0036159764111363E-3</v>
      </c>
      <c r="AH46" s="113">
        <f>ABS(M46-AC46)</f>
        <v>5.1334922586911136E-3</v>
      </c>
      <c r="AL46" s="10"/>
    </row>
    <row r="47" spans="1:40" ht="20.100000000000001" customHeight="1">
      <c r="A47" s="62" t="s">
        <v>23</v>
      </c>
      <c r="B47" s="47">
        <v>0.62387585392276612</v>
      </c>
      <c r="C47" s="57">
        <v>0.42899999999999999</v>
      </c>
      <c r="D47" s="23">
        <f t="shared" ref="D47:D53" si="5">G47</f>
        <v>0.38798484939279715</v>
      </c>
      <c r="E47" s="46">
        <v>0.34400271201502242</v>
      </c>
      <c r="F47" s="47">
        <v>0.30804499260655982</v>
      </c>
      <c r="G47" s="44">
        <v>0.38798484939279715</v>
      </c>
      <c r="I47" s="65" t="s">
        <v>23</v>
      </c>
      <c r="J47" s="52">
        <v>0.62387585392276612</v>
      </c>
      <c r="K47" s="52">
        <v>0.42899999999999999</v>
      </c>
      <c r="L47" s="53">
        <v>0.40834549915902324</v>
      </c>
      <c r="M47" s="53">
        <v>0.38868542350450314</v>
      </c>
      <c r="N47" s="52">
        <v>0</v>
      </c>
      <c r="O47" s="54">
        <v>0.38798484939279715</v>
      </c>
      <c r="Q47" s="65" t="s">
        <v>23</v>
      </c>
      <c r="R47" s="52">
        <v>0.62387585392276612</v>
      </c>
      <c r="S47" s="52">
        <v>0.42899999999999999</v>
      </c>
      <c r="T47" s="53">
        <v>0.40641004815345921</v>
      </c>
      <c r="U47" s="53">
        <v>0.3850096206062868</v>
      </c>
      <c r="V47" s="52">
        <v>2.5000000000000001E-2</v>
      </c>
      <c r="W47" s="54">
        <v>0.38798484939279715</v>
      </c>
      <c r="Y47" s="65" t="s">
        <v>23</v>
      </c>
      <c r="Z47" s="52">
        <v>0.62387585392276612</v>
      </c>
      <c r="AA47" s="52">
        <v>0.42899999999999999</v>
      </c>
      <c r="AB47" s="53">
        <v>0.40446985371627708</v>
      </c>
      <c r="AC47" s="53">
        <v>0.3813423369819734</v>
      </c>
      <c r="AD47" s="52">
        <v>0.05</v>
      </c>
      <c r="AE47" s="54">
        <v>0.38798484939279715</v>
      </c>
      <c r="AG47" s="113">
        <f t="shared" ref="AG47:AG52" si="6">ABS(L47-AB47)</f>
        <v>3.8756454427461562E-3</v>
      </c>
      <c r="AH47" s="113">
        <f t="shared" ref="AH47:AH53" si="7">ABS(M47-AC47)</f>
        <v>7.3430865225297404E-3</v>
      </c>
      <c r="AL47" s="10"/>
    </row>
    <row r="48" spans="1:40" ht="20.100000000000001" customHeight="1">
      <c r="A48" s="63" t="s">
        <v>24</v>
      </c>
      <c r="B48" s="47">
        <v>0.71292317694904639</v>
      </c>
      <c r="C48" s="57">
        <v>0.58799999999999997</v>
      </c>
      <c r="D48" s="23">
        <f t="shared" si="5"/>
        <v>0.40586444557503382</v>
      </c>
      <c r="E48" s="46">
        <v>0.23363255122879756</v>
      </c>
      <c r="F48" s="47">
        <v>0.14726900890607553</v>
      </c>
      <c r="G48" s="58">
        <v>0.40586444557503382</v>
      </c>
      <c r="H48" s="8"/>
      <c r="I48" s="65" t="s">
        <v>24</v>
      </c>
      <c r="J48" s="52">
        <v>0.71292317694904639</v>
      </c>
      <c r="K48" s="52">
        <v>0.58799999999999997</v>
      </c>
      <c r="L48" s="53">
        <v>0.38606705629676946</v>
      </c>
      <c r="M48" s="53">
        <v>0.2534826053701581</v>
      </c>
      <c r="N48" s="52">
        <v>0</v>
      </c>
      <c r="O48" s="54">
        <v>0.40586444557503382</v>
      </c>
      <c r="P48"/>
      <c r="Q48" s="65" t="s">
        <v>24</v>
      </c>
      <c r="R48" s="52">
        <v>0.71292317694904639</v>
      </c>
      <c r="S48" s="52">
        <v>0.58799999999999997</v>
      </c>
      <c r="T48" s="53">
        <v>0.38346719787112837</v>
      </c>
      <c r="U48" s="53">
        <v>0.25008008816859717</v>
      </c>
      <c r="V48" s="52">
        <v>2.5000000000000001E-2</v>
      </c>
      <c r="W48" s="54">
        <v>0.40586444557503382</v>
      </c>
      <c r="X48"/>
      <c r="Y48" s="65" t="s">
        <v>24</v>
      </c>
      <c r="Z48" s="52">
        <v>0.71292317694904639</v>
      </c>
      <c r="AA48" s="52">
        <v>0.58799999999999997</v>
      </c>
      <c r="AB48" s="53">
        <v>0.38085983687972141</v>
      </c>
      <c r="AC48" s="53">
        <v>0.24669084242865308</v>
      </c>
      <c r="AD48" s="52">
        <v>0.05</v>
      </c>
      <c r="AE48" s="54">
        <v>0.40586444557503382</v>
      </c>
      <c r="AF48" s="11"/>
      <c r="AG48" s="113">
        <f t="shared" si="6"/>
        <v>5.2072194170480479E-3</v>
      </c>
      <c r="AH48" s="113">
        <f t="shared" si="7"/>
        <v>6.7917629415050196E-3</v>
      </c>
      <c r="AI48" s="14"/>
      <c r="AJ48" s="11"/>
      <c r="AL48" s="10"/>
      <c r="AM48" s="14"/>
      <c r="AN48" s="15"/>
    </row>
    <row r="49" spans="1:38" ht="20.100000000000001" customHeight="1">
      <c r="A49" s="62" t="s">
        <v>25</v>
      </c>
      <c r="B49" s="47">
        <v>0.81373994995175392</v>
      </c>
      <c r="C49" s="57">
        <v>0.68100000000000005</v>
      </c>
      <c r="D49" s="23">
        <f t="shared" si="5"/>
        <v>0.47383403598523183</v>
      </c>
      <c r="E49" s="46">
        <v>0.27569722513920264</v>
      </c>
      <c r="F49" s="47">
        <v>0.17541835600575528</v>
      </c>
      <c r="G49" s="44">
        <v>0.47383403598523183</v>
      </c>
      <c r="I49" s="65" t="s">
        <v>25</v>
      </c>
      <c r="J49" s="52">
        <v>0.81373994995175392</v>
      </c>
      <c r="K49" s="52">
        <v>0.68100000000000005</v>
      </c>
      <c r="L49" s="53">
        <v>0.45079378071523879</v>
      </c>
      <c r="M49" s="53">
        <v>0.29840680283632715</v>
      </c>
      <c r="N49" s="52">
        <v>0</v>
      </c>
      <c r="O49" s="54">
        <v>0.47383403598523183</v>
      </c>
      <c r="Q49" s="65" t="s">
        <v>25</v>
      </c>
      <c r="R49" s="52">
        <v>0.81373994995175392</v>
      </c>
      <c r="S49" s="52">
        <v>0.68100000000000005</v>
      </c>
      <c r="T49" s="53">
        <v>0.44831854396212312</v>
      </c>
      <c r="U49" s="53">
        <v>0.29513879127800013</v>
      </c>
      <c r="V49" s="52">
        <v>2.5000000000000001E-2</v>
      </c>
      <c r="W49" s="54">
        <v>0.47383403598523183</v>
      </c>
      <c r="Y49" s="65" t="s">
        <v>25</v>
      </c>
      <c r="Z49" s="52">
        <v>0.81373994995175392</v>
      </c>
      <c r="AA49" s="52">
        <v>0.68100000000000005</v>
      </c>
      <c r="AB49" s="53">
        <v>0.44583747273925878</v>
      </c>
      <c r="AC49" s="53">
        <v>0.29188113377170238</v>
      </c>
      <c r="AD49" s="52">
        <v>0.05</v>
      </c>
      <c r="AE49" s="54">
        <v>0.47383403598523183</v>
      </c>
      <c r="AG49" s="113">
        <f t="shared" si="6"/>
        <v>4.9563079759800122E-3</v>
      </c>
      <c r="AH49" s="113">
        <f t="shared" si="7"/>
        <v>6.5256690646247617E-3</v>
      </c>
      <c r="AL49" s="16"/>
    </row>
    <row r="50" spans="1:38" ht="20.100000000000001" customHeight="1">
      <c r="A50" s="62" t="s">
        <v>26</v>
      </c>
      <c r="B50" s="47">
        <v>0.75463980297856215</v>
      </c>
      <c r="C50" s="57">
        <v>0.40100000000000002</v>
      </c>
      <c r="D50" s="23">
        <f t="shared" si="5"/>
        <v>0.3182971949456902</v>
      </c>
      <c r="E50" s="46">
        <v>0.23237257490216717</v>
      </c>
      <c r="F50" s="47">
        <v>0.17689074836361682</v>
      </c>
      <c r="G50" s="44">
        <v>0.3182971949456902</v>
      </c>
      <c r="H50" s="4"/>
      <c r="I50" s="65" t="s">
        <v>26</v>
      </c>
      <c r="J50" s="52">
        <v>0.75463980297856215</v>
      </c>
      <c r="K50" s="52">
        <v>0.40100000000000002</v>
      </c>
      <c r="L50" s="53">
        <v>0.32218154448277164</v>
      </c>
      <c r="M50" s="53">
        <v>0.25885523093592055</v>
      </c>
      <c r="N50" s="52">
        <v>0</v>
      </c>
      <c r="O50" s="54">
        <v>0.3182971949456902</v>
      </c>
      <c r="Q50" s="65" t="s">
        <v>26</v>
      </c>
      <c r="R50" s="52">
        <v>0.75463980297856215</v>
      </c>
      <c r="S50" s="52">
        <v>0.40100000000000002</v>
      </c>
      <c r="T50" s="53">
        <v>0.31981460316185928</v>
      </c>
      <c r="U50" s="53">
        <v>0.25506578652263723</v>
      </c>
      <c r="V50" s="52">
        <v>2.5000000000000001E-2</v>
      </c>
      <c r="W50" s="54">
        <v>0.3182971949456902</v>
      </c>
      <c r="Y50" s="65" t="s">
        <v>26</v>
      </c>
      <c r="Z50" s="52">
        <v>0.75463980297856215</v>
      </c>
      <c r="AA50" s="52">
        <v>0.40100000000000002</v>
      </c>
      <c r="AB50" s="53">
        <v>0.31743954167978627</v>
      </c>
      <c r="AC50" s="53">
        <v>0.25129142798472009</v>
      </c>
      <c r="AD50" s="52">
        <v>0.05</v>
      </c>
      <c r="AE50" s="54">
        <v>0.3182971949456902</v>
      </c>
      <c r="AG50" s="113">
        <f t="shared" si="6"/>
        <v>4.7420028029853678E-3</v>
      </c>
      <c r="AH50" s="113">
        <f t="shared" si="7"/>
        <v>7.5638029512004601E-3</v>
      </c>
    </row>
    <row r="51" spans="1:38" ht="20.100000000000001" customHeight="1">
      <c r="A51" s="63" t="s">
        <v>27</v>
      </c>
      <c r="B51" s="47">
        <v>0.73357594100818813</v>
      </c>
      <c r="C51" s="57">
        <v>0.49299999999999999</v>
      </c>
      <c r="D51" s="23">
        <f t="shared" si="5"/>
        <v>0.36613622666006918</v>
      </c>
      <c r="E51" s="46">
        <v>0.23907142448551963</v>
      </c>
      <c r="F51" s="47">
        <v>0.1664822912219483</v>
      </c>
      <c r="G51" s="58">
        <v>0.36613622666006918</v>
      </c>
      <c r="H51" s="19"/>
      <c r="I51" s="65" t="s">
        <v>27</v>
      </c>
      <c r="J51" s="52">
        <v>0.73357594100818813</v>
      </c>
      <c r="K51" s="52">
        <v>0.49299999999999999</v>
      </c>
      <c r="L51" s="53">
        <v>0.35889100167363369</v>
      </c>
      <c r="M51" s="53">
        <v>0.26126318677952159</v>
      </c>
      <c r="N51" s="52">
        <v>0</v>
      </c>
      <c r="O51" s="54">
        <v>0.36613622666006918</v>
      </c>
      <c r="Q51" s="65" t="s">
        <v>27</v>
      </c>
      <c r="R51" s="52">
        <v>0.73357594100818813</v>
      </c>
      <c r="S51" s="52">
        <v>0.49299999999999999</v>
      </c>
      <c r="T51" s="53">
        <v>0.3565707762762384</v>
      </c>
      <c r="U51" s="53">
        <v>0.25789598071853803</v>
      </c>
      <c r="V51" s="52">
        <v>2.5000000000000001E-2</v>
      </c>
      <c r="W51" s="54">
        <v>0.36613622666006918</v>
      </c>
      <c r="Y51" s="65" t="s">
        <v>27</v>
      </c>
      <c r="Z51" s="52">
        <v>0.73357594100818813</v>
      </c>
      <c r="AA51" s="52">
        <v>0.49299999999999999</v>
      </c>
      <c r="AB51" s="53">
        <v>0.35424378390904743</v>
      </c>
      <c r="AC51" s="53">
        <v>0.25454088932697749</v>
      </c>
      <c r="AD51" s="52">
        <v>0.05</v>
      </c>
      <c r="AE51" s="54">
        <v>0.36613622666006918</v>
      </c>
      <c r="AG51" s="113">
        <f t="shared" si="6"/>
        <v>4.6472177645862645E-3</v>
      </c>
      <c r="AH51" s="113">
        <f t="shared" si="7"/>
        <v>6.7222974525441015E-3</v>
      </c>
    </row>
    <row r="52" spans="1:38" ht="20.100000000000001" customHeight="1">
      <c r="A52" s="63" t="s">
        <v>28</v>
      </c>
      <c r="B52" s="47">
        <v>0.6516908940690902</v>
      </c>
      <c r="C52" s="57">
        <v>0.27500000000000002</v>
      </c>
      <c r="D52" s="23">
        <f t="shared" si="5"/>
        <v>0.21833762498987502</v>
      </c>
      <c r="E52" s="46">
        <v>0.15770748007707205</v>
      </c>
      <c r="F52" s="47">
        <v>0.11942963134816904</v>
      </c>
      <c r="G52" s="58">
        <v>0.21833762498987502</v>
      </c>
      <c r="I52" s="65" t="s">
        <v>28</v>
      </c>
      <c r="J52" s="52">
        <v>0.6516908940690902</v>
      </c>
      <c r="K52" s="52">
        <v>0.27500000000000002</v>
      </c>
      <c r="L52" s="53">
        <v>0.22006845086588364</v>
      </c>
      <c r="M52" s="53">
        <v>0.17610953842367214</v>
      </c>
      <c r="N52" s="52">
        <v>0</v>
      </c>
      <c r="O52" s="54">
        <v>0.21833762498987502</v>
      </c>
      <c r="Q52" s="65" t="s">
        <v>28</v>
      </c>
      <c r="R52" s="52">
        <v>0.6516908940690902</v>
      </c>
      <c r="S52" s="52">
        <v>0.27500000000000002</v>
      </c>
      <c r="T52" s="53">
        <v>0.21761983619397496</v>
      </c>
      <c r="U52" s="53">
        <v>0.17221233856397269</v>
      </c>
      <c r="V52" s="52">
        <v>2.5000000000000001E-2</v>
      </c>
      <c r="W52" s="54">
        <v>0.21833762498987502</v>
      </c>
      <c r="Y52" s="65" t="s">
        <v>28</v>
      </c>
      <c r="Z52" s="52">
        <v>0.6516908940690902</v>
      </c>
      <c r="AA52" s="52">
        <v>0.27500000000000002</v>
      </c>
      <c r="AB52" s="53">
        <v>0.21515840230325839</v>
      </c>
      <c r="AC52" s="53">
        <v>0.16833868393342102</v>
      </c>
      <c r="AD52" s="52">
        <v>0.05</v>
      </c>
      <c r="AE52" s="54">
        <v>0.21833762498987502</v>
      </c>
      <c r="AG52" s="113">
        <f t="shared" si="6"/>
        <v>4.9100485626252521E-3</v>
      </c>
      <c r="AH52" s="113">
        <f t="shared" si="7"/>
        <v>7.7708544902511112E-3</v>
      </c>
    </row>
    <row r="53" spans="1:38" ht="20.100000000000001" customHeight="1">
      <c r="A53" s="64" t="s">
        <v>29</v>
      </c>
      <c r="B53" s="51">
        <v>0.64599759879888741</v>
      </c>
      <c r="C53" s="59">
        <v>0.48199999999999998</v>
      </c>
      <c r="D53" s="23">
        <f t="shared" si="5"/>
        <v>0.33615333281360738</v>
      </c>
      <c r="E53" s="46">
        <v>0.1923034688142562</v>
      </c>
      <c r="F53" s="51">
        <v>0.12146667914598014</v>
      </c>
      <c r="G53" s="50">
        <v>0.33615333281360738</v>
      </c>
      <c r="I53" s="65" t="s">
        <v>29</v>
      </c>
      <c r="J53" s="52">
        <v>0.64599759879888741</v>
      </c>
      <c r="K53" s="52">
        <v>0.48199999999999998</v>
      </c>
      <c r="L53" s="53">
        <v>0.31690141697140045</v>
      </c>
      <c r="M53" s="53">
        <v>0.20835375120016891</v>
      </c>
      <c r="N53" s="52">
        <v>0</v>
      </c>
      <c r="O53" s="54">
        <v>0.33615333281360738</v>
      </c>
      <c r="Q53" s="65" t="s">
        <v>29</v>
      </c>
      <c r="R53" s="52">
        <v>0.64599759879888741</v>
      </c>
      <c r="S53" s="52">
        <v>0.48199999999999998</v>
      </c>
      <c r="T53" s="53">
        <v>0.31435568661937247</v>
      </c>
      <c r="U53" s="53">
        <v>0.20501970479240067</v>
      </c>
      <c r="V53" s="52">
        <v>2.5000000000000001E-2</v>
      </c>
      <c r="W53" s="54">
        <v>0.33615333281360738</v>
      </c>
      <c r="Y53" s="65" t="s">
        <v>29</v>
      </c>
      <c r="Z53" s="52">
        <v>0.64599759879888741</v>
      </c>
      <c r="AA53" s="52">
        <v>0.48199999999999998</v>
      </c>
      <c r="AB53" s="53">
        <v>0.31180131619345985</v>
      </c>
      <c r="AC53" s="53">
        <v>0.20170137091280899</v>
      </c>
      <c r="AD53" s="52">
        <v>0.05</v>
      </c>
      <c r="AE53" s="54">
        <v>0.33615333281360738</v>
      </c>
      <c r="AG53" s="113">
        <f>ABS(L53-AB53)</f>
        <v>5.1001007779405971E-3</v>
      </c>
      <c r="AH53" s="113">
        <f t="shared" si="7"/>
        <v>6.6523802873599269E-3</v>
      </c>
    </row>
    <row r="54" spans="1:38" ht="20.100000000000001" customHeight="1">
      <c r="R54"/>
      <c r="X54"/>
      <c r="Y54" s="101" t="s">
        <v>30</v>
      </c>
      <c r="Z54" s="101"/>
      <c r="AD54" s="101" t="s">
        <v>31</v>
      </c>
      <c r="AE54" s="101"/>
    </row>
    <row r="55" spans="1:38" ht="20.100000000000001" customHeight="1">
      <c r="P55"/>
      <c r="Q55"/>
      <c r="R55"/>
      <c r="S55"/>
      <c r="Y55" s="102" t="s">
        <v>32</v>
      </c>
      <c r="Z55" s="136" t="s">
        <v>33</v>
      </c>
      <c r="AA55" s="138"/>
      <c r="AB55" s="138"/>
      <c r="AC55" s="137"/>
      <c r="AD55" s="136" t="s">
        <v>31</v>
      </c>
      <c r="AE55" s="137"/>
    </row>
    <row r="56" spans="1:38" ht="20.100000000000001" customHeight="1">
      <c r="A56" s="110"/>
      <c r="B56" s="111"/>
      <c r="C56" s="111"/>
      <c r="D56" s="111"/>
      <c r="E56" s="111"/>
      <c r="F56" s="111"/>
      <c r="G56" s="111"/>
      <c r="H56" s="111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02" t="s">
        <v>12</v>
      </c>
      <c r="Z56" s="139">
        <f>AVERAGE(AG46:AG53)</f>
        <v>4.9302698400403543E-3</v>
      </c>
      <c r="AA56" s="140"/>
      <c r="AB56" s="140"/>
      <c r="AC56" s="141"/>
      <c r="AD56" s="147">
        <f>MAX(AG46:AG53)</f>
        <v>6.0036159764111363E-3</v>
      </c>
      <c r="AE56" s="148"/>
      <c r="AF56" s="24"/>
      <c r="AG56" s="24"/>
      <c r="AH56" s="24"/>
    </row>
    <row r="57" spans="1:38" ht="28.5" customHeight="1">
      <c r="A57" s="114" t="s">
        <v>80</v>
      </c>
      <c r="B57" s="102" t="s">
        <v>41</v>
      </c>
      <c r="C57" s="102" t="s">
        <v>81</v>
      </c>
      <c r="P57"/>
      <c r="Q57"/>
      <c r="R57"/>
      <c r="S57"/>
      <c r="T57"/>
      <c r="U57"/>
      <c r="X57"/>
      <c r="Y57" s="102" t="s">
        <v>13</v>
      </c>
      <c r="Z57" s="139">
        <f>AVERAGE(AH46:AH53)</f>
        <v>6.8129182460882794E-3</v>
      </c>
      <c r="AA57" s="140"/>
      <c r="AB57" s="140"/>
      <c r="AC57" s="141"/>
      <c r="AD57" s="147">
        <f>MAX(AH46:AH53)</f>
        <v>7.7708544902511112E-3</v>
      </c>
      <c r="AE57" s="148"/>
      <c r="AF57" s="26"/>
      <c r="AG57" s="26"/>
      <c r="AH57" s="26"/>
    </row>
    <row r="58" spans="1:38" ht="20.100000000000001" customHeight="1">
      <c r="A58" s="115" t="s">
        <v>22</v>
      </c>
      <c r="B58" s="116">
        <f>'4.2 HLY kraje_2024_m_ž'!R17</f>
        <v>0.40693302417669519</v>
      </c>
      <c r="C58" s="116">
        <f>'4.2 HLY kraje_2024_m_ž'!R203</f>
        <v>0.41178292500391162</v>
      </c>
      <c r="D58" s="25"/>
      <c r="E58" s="25"/>
      <c r="F58" s="25"/>
      <c r="G58" s="25"/>
      <c r="H58" s="25"/>
      <c r="I58"/>
      <c r="J58"/>
      <c r="P58"/>
      <c r="Q58"/>
      <c r="R58"/>
      <c r="S58"/>
      <c r="T58"/>
      <c r="U58"/>
      <c r="X58"/>
      <c r="Y58"/>
      <c r="Z58"/>
      <c r="AA58"/>
      <c r="AE58"/>
      <c r="AF58" s="26"/>
      <c r="AG58" s="26"/>
      <c r="AH58" s="26"/>
    </row>
    <row r="59" spans="1:38" ht="20.100000000000001" customHeight="1">
      <c r="A59" s="115" t="s">
        <v>23</v>
      </c>
      <c r="B59" s="116">
        <f>'4.2 HLY kraje_2024_m_ž'!R40</f>
        <v>0.37272598667429691</v>
      </c>
      <c r="C59" s="116">
        <f>'4.2 HLY kraje_2024_m_ž'!R226</f>
        <v>0.40025508791416448</v>
      </c>
      <c r="P59"/>
      <c r="Q59"/>
      <c r="R59"/>
      <c r="S59"/>
      <c r="T59"/>
      <c r="U59"/>
      <c r="X59"/>
      <c r="Y59"/>
      <c r="Z59"/>
      <c r="AA59"/>
      <c r="AE59"/>
      <c r="AF59" s="26"/>
      <c r="AG59" s="26"/>
      <c r="AH59" s="26"/>
    </row>
    <row r="60" spans="1:38" ht="20.100000000000001" customHeight="1">
      <c r="A60" s="115" t="s">
        <v>24</v>
      </c>
      <c r="B60" s="116">
        <f>'4.2 HLY kraje_2024_m_ž'!R63</f>
        <v>0.41409416911202657</v>
      </c>
      <c r="C60" s="116">
        <f>'4.2 HLY kraje_2024_m_ž'!R249</f>
        <v>0.42019332201081644</v>
      </c>
      <c r="P60"/>
      <c r="Q60"/>
      <c r="R60"/>
      <c r="S60"/>
      <c r="T60"/>
      <c r="U60"/>
      <c r="X60"/>
      <c r="Y60"/>
      <c r="Z60"/>
      <c r="AA60"/>
      <c r="AE60"/>
      <c r="AF60" s="26"/>
      <c r="AG60" s="26"/>
      <c r="AH60" s="26"/>
    </row>
    <row r="61" spans="1:38" ht="20.100000000000001" customHeight="1">
      <c r="A61" s="115" t="s">
        <v>25</v>
      </c>
      <c r="B61" s="117">
        <f>'4.2 HLY kraje_2024_m_ž'!R86</f>
        <v>0.51435852351620082</v>
      </c>
      <c r="C61" s="117">
        <f>'4.2 HLY kraje_2024_m_ž'!R272</f>
        <v>0.49101326848573146</v>
      </c>
      <c r="P61"/>
      <c r="Q61"/>
      <c r="R61"/>
      <c r="S61"/>
      <c r="T61"/>
      <c r="U61"/>
      <c r="X61"/>
      <c r="Y61"/>
      <c r="Z61"/>
      <c r="AA61"/>
      <c r="AE61"/>
      <c r="AF61" s="26"/>
      <c r="AG61" s="26"/>
      <c r="AH61" s="26"/>
    </row>
    <row r="62" spans="1:38" ht="20.100000000000001" customHeight="1">
      <c r="A62" s="115" t="s">
        <v>26</v>
      </c>
      <c r="B62" s="118">
        <f>'4.2 HLY kraje_2024_m_ž'!R109</f>
        <v>0.28435043499127483</v>
      </c>
      <c r="C62" s="118">
        <f>'4.2 HLY kraje_2024_m_ž'!R295</f>
        <v>0.34702693226600551</v>
      </c>
      <c r="D62" s="27"/>
      <c r="E62" s="27"/>
      <c r="F62" s="27"/>
      <c r="P62"/>
      <c r="Q62"/>
      <c r="R62"/>
      <c r="S62"/>
      <c r="T62"/>
      <c r="U62"/>
      <c r="X62"/>
      <c r="Y62"/>
      <c r="Z62"/>
      <c r="AA62"/>
      <c r="AE62"/>
      <c r="AF62" s="26"/>
      <c r="AG62" s="26"/>
      <c r="AH62" s="26"/>
    </row>
    <row r="63" spans="1:38" ht="20.100000000000001" customHeight="1">
      <c r="A63" s="115" t="s">
        <v>27</v>
      </c>
      <c r="B63" s="116">
        <f>'4.2 HLY kraje_2024_m_ž'!R132</f>
        <v>0.40293879198542726</v>
      </c>
      <c r="C63" s="116">
        <f>'4.2 HLY kraje_2024_m_ž'!R318</f>
        <v>0.39089341144787554</v>
      </c>
      <c r="P63"/>
      <c r="Q63"/>
      <c r="R63"/>
      <c r="S63"/>
      <c r="T63"/>
      <c r="U63"/>
      <c r="X63"/>
      <c r="Y63"/>
      <c r="Z63"/>
      <c r="AA63"/>
      <c r="AE63"/>
      <c r="AF63" s="26"/>
      <c r="AG63" s="26"/>
      <c r="AH63" s="26"/>
    </row>
    <row r="64" spans="1:38" ht="24" customHeight="1">
      <c r="A64" s="115" t="s">
        <v>28</v>
      </c>
      <c r="B64" s="116">
        <f>'4.2 HLY kraje_2024_m_ž'!R155</f>
        <v>0.27957217305418641</v>
      </c>
      <c r="C64" s="116">
        <f>'4.2 HLY kraje_2024_m_ž'!R341</f>
        <v>0.25077775297646016</v>
      </c>
      <c r="R64"/>
      <c r="S64"/>
      <c r="T64"/>
      <c r="U64"/>
      <c r="X64"/>
      <c r="Y64"/>
      <c r="Z64"/>
      <c r="AA64"/>
      <c r="AE64"/>
      <c r="AF64" s="26"/>
      <c r="AG64" s="26"/>
      <c r="AH64" s="26"/>
    </row>
    <row r="65" spans="1:3">
      <c r="A65" s="115" t="s">
        <v>29</v>
      </c>
      <c r="B65" s="116">
        <f>'4.2 HLY kraje_2024_m_ž'!R178</f>
        <v>0.42900335255615096</v>
      </c>
      <c r="C65" s="116">
        <f>'4.2 HLY kraje_2024_m_ž'!R364</f>
        <v>0.35283552491431786</v>
      </c>
    </row>
  </sheetData>
  <mergeCells count="80">
    <mergeCell ref="Z55:AC55"/>
    <mergeCell ref="AD55:AE55"/>
    <mergeCell ref="Z56:AC56"/>
    <mergeCell ref="AD56:AE56"/>
    <mergeCell ref="Z57:AC57"/>
    <mergeCell ref="AD57:AE57"/>
    <mergeCell ref="Z37:AC37"/>
    <mergeCell ref="AD37:AE37"/>
    <mergeCell ref="Z38:AC38"/>
    <mergeCell ref="AD38:AE38"/>
    <mergeCell ref="Z39:AC39"/>
    <mergeCell ref="AD39:AE39"/>
    <mergeCell ref="Z19:AC19"/>
    <mergeCell ref="AD18:AE18"/>
    <mergeCell ref="AD19:AE19"/>
    <mergeCell ref="A23:A26"/>
    <mergeCell ref="B23:G24"/>
    <mergeCell ref="B25:B26"/>
    <mergeCell ref="C25:C26"/>
    <mergeCell ref="D25:D26"/>
    <mergeCell ref="E25:E26"/>
    <mergeCell ref="F25:F26"/>
    <mergeCell ref="G25:G26"/>
    <mergeCell ref="A3:A6"/>
    <mergeCell ref="B3:G4"/>
    <mergeCell ref="I3:I6"/>
    <mergeCell ref="J3:O4"/>
    <mergeCell ref="B5:B6"/>
    <mergeCell ref="C5:C6"/>
    <mergeCell ref="D5:D6"/>
    <mergeCell ref="E5:E6"/>
    <mergeCell ref="F5:F6"/>
    <mergeCell ref="G5:G6"/>
    <mergeCell ref="J5:J6"/>
    <mergeCell ref="K5:K6"/>
    <mergeCell ref="L5:L6"/>
    <mergeCell ref="M5:M6"/>
    <mergeCell ref="N5:N6"/>
    <mergeCell ref="B2:G2"/>
    <mergeCell ref="I2:O2"/>
    <mergeCell ref="I22:O22"/>
    <mergeCell ref="I40:O40"/>
    <mergeCell ref="Q2:W2"/>
    <mergeCell ref="Q22:W22"/>
    <mergeCell ref="Q40:W40"/>
    <mergeCell ref="O5:O6"/>
    <mergeCell ref="D7:E7"/>
    <mergeCell ref="L7:M7"/>
    <mergeCell ref="D27:E27"/>
    <mergeCell ref="Y2:AE2"/>
    <mergeCell ref="Y22:AE22"/>
    <mergeCell ref="Y40:AE40"/>
    <mergeCell ref="I23:I25"/>
    <mergeCell ref="J23:O24"/>
    <mergeCell ref="Y3:Y5"/>
    <mergeCell ref="Z3:AE4"/>
    <mergeCell ref="Y23:Y25"/>
    <mergeCell ref="Z23:AE24"/>
    <mergeCell ref="Q3:Q5"/>
    <mergeCell ref="R3:W4"/>
    <mergeCell ref="Q23:Q25"/>
    <mergeCell ref="R23:W24"/>
    <mergeCell ref="AD17:AE17"/>
    <mergeCell ref="Z17:AC17"/>
    <mergeCell ref="Z18:AC18"/>
    <mergeCell ref="Q41:Q43"/>
    <mergeCell ref="R41:W42"/>
    <mergeCell ref="Y41:Y43"/>
    <mergeCell ref="Z41:AE42"/>
    <mergeCell ref="I41:I43"/>
    <mergeCell ref="J41:O42"/>
    <mergeCell ref="D45:E45"/>
    <mergeCell ref="A41:A44"/>
    <mergeCell ref="B41:G42"/>
    <mergeCell ref="B43:B44"/>
    <mergeCell ref="C43:C44"/>
    <mergeCell ref="D43:D44"/>
    <mergeCell ref="E43:E44"/>
    <mergeCell ref="F43:F44"/>
    <mergeCell ref="G43:G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V373"/>
  <sheetViews>
    <sheetView topLeftCell="A318" workbookViewId="0">
      <pane xSplit="1" topLeftCell="B1" activePane="topRight" state="frozen"/>
      <selection pane="topRight" activeCell="T110" sqref="T110"/>
    </sheetView>
  </sheetViews>
  <sheetFormatPr defaultColWidth="9.140625" defaultRowHeight="12.75"/>
  <cols>
    <col min="1" max="1" width="15.42578125" style="74" customWidth="1"/>
    <col min="2" max="8" width="9.140625" style="74"/>
    <col min="9" max="12" width="9.140625" style="67"/>
    <col min="13" max="13" width="11.42578125" style="67" customWidth="1"/>
    <col min="14" max="14" width="9.140625" style="67"/>
    <col min="15" max="15" width="11.85546875" style="67" customWidth="1"/>
    <col min="16" max="16" width="14.28515625" style="67" customWidth="1"/>
    <col min="17" max="19" width="9.140625" style="67"/>
    <col min="20" max="20" width="9.140625" style="68"/>
    <col min="21" max="21" width="9.85546875" style="68" customWidth="1"/>
    <col min="22" max="23" width="9.140625" style="68"/>
    <col min="24" max="24" width="11.42578125" style="68" customWidth="1"/>
    <col min="25" max="26" width="10.28515625" style="68" customWidth="1"/>
    <col min="27" max="16384" width="9.140625" style="68"/>
  </cols>
  <sheetData>
    <row r="1" spans="1:22" ht="15" customHeight="1">
      <c r="A1" s="66" t="s">
        <v>41</v>
      </c>
      <c r="B1" s="149" t="s">
        <v>42</v>
      </c>
      <c r="C1" s="150"/>
      <c r="D1" s="150"/>
      <c r="E1" s="151"/>
      <c r="F1" s="149" t="s">
        <v>43</v>
      </c>
      <c r="G1" s="150"/>
      <c r="H1" s="151"/>
      <c r="I1" s="152" t="s">
        <v>44</v>
      </c>
      <c r="J1" s="153"/>
      <c r="K1" s="153"/>
      <c r="L1" s="153"/>
      <c r="M1" s="153"/>
      <c r="N1" s="154"/>
      <c r="O1" s="155" t="s">
        <v>45</v>
      </c>
      <c r="P1" s="156"/>
      <c r="Q1" s="156"/>
    </row>
    <row r="2" spans="1:22" ht="13.5" customHeight="1">
      <c r="A2" s="66"/>
      <c r="B2" s="69">
        <v>2021</v>
      </c>
      <c r="C2" s="69">
        <v>2022</v>
      </c>
      <c r="D2" s="69">
        <v>2023</v>
      </c>
      <c r="E2" s="69">
        <v>2024</v>
      </c>
      <c r="F2" s="69">
        <v>2022</v>
      </c>
      <c r="G2" s="69">
        <v>2023</v>
      </c>
      <c r="H2" s="69">
        <v>2024</v>
      </c>
      <c r="I2" s="70" t="s">
        <v>46</v>
      </c>
      <c r="J2" s="71" t="s">
        <v>47</v>
      </c>
      <c r="K2" s="71" t="s">
        <v>48</v>
      </c>
      <c r="L2" s="71" t="s">
        <v>49</v>
      </c>
      <c r="M2" s="71" t="s">
        <v>50</v>
      </c>
      <c r="N2" s="72" t="s">
        <v>51</v>
      </c>
      <c r="O2" s="73" t="s">
        <v>52</v>
      </c>
      <c r="P2" s="73" t="s">
        <v>50</v>
      </c>
      <c r="Q2" s="73" t="s">
        <v>53</v>
      </c>
    </row>
    <row r="3" spans="1:22" ht="12.75" customHeight="1"/>
    <row r="4" spans="1:22" ht="13.5" customHeight="1">
      <c r="A4" s="74" t="s">
        <v>22</v>
      </c>
      <c r="T4" s="75"/>
      <c r="U4" s="75"/>
      <c r="V4" s="75"/>
    </row>
    <row r="5" spans="1:22">
      <c r="A5" s="74" t="s">
        <v>54</v>
      </c>
      <c r="B5" s="74">
        <v>4232</v>
      </c>
      <c r="C5" s="74">
        <v>3822</v>
      </c>
      <c r="D5" s="74">
        <v>3465</v>
      </c>
      <c r="E5" s="74">
        <v>3103</v>
      </c>
      <c r="F5" s="74">
        <v>12</v>
      </c>
      <c r="G5" s="74">
        <v>14</v>
      </c>
      <c r="H5" s="74">
        <v>9</v>
      </c>
      <c r="I5" s="76">
        <v>3.3686236766121299E-3</v>
      </c>
      <c r="J5" s="77">
        <v>100000</v>
      </c>
      <c r="K5" s="77">
        <v>336.86236766121874</v>
      </c>
      <c r="L5" s="77">
        <v>99696.823869104905</v>
      </c>
      <c r="M5" s="77">
        <v>7711867.0155862588</v>
      </c>
      <c r="N5" s="78">
        <v>77.118670155862588</v>
      </c>
      <c r="O5" s="77"/>
      <c r="P5" s="77"/>
      <c r="Q5" s="78"/>
      <c r="R5" s="78"/>
      <c r="S5" s="78"/>
    </row>
    <row r="6" spans="1:22">
      <c r="A6" s="74" t="s">
        <v>55</v>
      </c>
      <c r="B6" s="74">
        <v>18393</v>
      </c>
      <c r="C6" s="74">
        <v>17990</v>
      </c>
      <c r="D6" s="74">
        <v>17052</v>
      </c>
      <c r="E6" s="74">
        <v>16063</v>
      </c>
      <c r="F6" s="74">
        <v>2</v>
      </c>
      <c r="G6" s="74">
        <v>0</v>
      </c>
      <c r="H6" s="74">
        <v>0</v>
      </c>
      <c r="I6" s="76">
        <v>1.5303975207560163E-4</v>
      </c>
      <c r="J6" s="77">
        <v>99663.137632338781</v>
      </c>
      <c r="K6" s="77">
        <v>15.252421874334686</v>
      </c>
      <c r="L6" s="77">
        <v>99655.511421401607</v>
      </c>
      <c r="M6" s="77">
        <v>7612170.1917171543</v>
      </c>
      <c r="N6" s="78">
        <v>76.37899400477184</v>
      </c>
      <c r="O6" s="77"/>
      <c r="P6" s="77"/>
    </row>
    <row r="7" spans="1:22">
      <c r="A7" s="74" t="s">
        <v>56</v>
      </c>
      <c r="B7" s="74">
        <v>21917</v>
      </c>
      <c r="C7" s="74">
        <v>22365</v>
      </c>
      <c r="D7" s="74">
        <v>23069</v>
      </c>
      <c r="E7" s="74">
        <v>23200</v>
      </c>
      <c r="F7" s="79">
        <v>1</v>
      </c>
      <c r="G7" s="79">
        <v>4</v>
      </c>
      <c r="H7" s="79">
        <v>0</v>
      </c>
      <c r="I7" s="76">
        <v>1.027297011852526E-4</v>
      </c>
      <c r="J7" s="77">
        <v>99647.885210464447</v>
      </c>
      <c r="K7" s="77">
        <v>10.23679747141432</v>
      </c>
      <c r="L7" s="77">
        <v>99642.766811728739</v>
      </c>
      <c r="M7" s="77">
        <v>7213548.1460315483</v>
      </c>
      <c r="N7" s="78">
        <v>72.390378689883349</v>
      </c>
      <c r="O7" s="77"/>
      <c r="P7" s="77"/>
      <c r="S7" s="80"/>
      <c r="T7" s="67"/>
    </row>
    <row r="8" spans="1:22">
      <c r="A8" s="74" t="s">
        <v>57</v>
      </c>
      <c r="B8" s="74">
        <v>18744</v>
      </c>
      <c r="C8" s="74">
        <v>19560</v>
      </c>
      <c r="D8" s="74">
        <v>20045</v>
      </c>
      <c r="E8" s="74">
        <v>20560</v>
      </c>
      <c r="F8" s="79">
        <v>2</v>
      </c>
      <c r="G8" s="79">
        <v>3</v>
      </c>
      <c r="H8" s="79">
        <v>4</v>
      </c>
      <c r="I8" s="76">
        <v>8.3585164198243995E-4</v>
      </c>
      <c r="J8" s="77">
        <v>99637.648412993032</v>
      </c>
      <c r="K8" s="77">
        <v>83.28229202926741</v>
      </c>
      <c r="L8" s="77">
        <v>99596.007266978399</v>
      </c>
      <c r="M8" s="77">
        <v>6715334.311972905</v>
      </c>
      <c r="N8" s="78">
        <v>67.397559245258208</v>
      </c>
      <c r="O8" s="77"/>
      <c r="P8" s="77"/>
      <c r="S8" s="80"/>
      <c r="T8" s="67"/>
    </row>
    <row r="9" spans="1:22">
      <c r="A9" s="74" t="s">
        <v>58</v>
      </c>
      <c r="B9" s="74">
        <v>14197</v>
      </c>
      <c r="C9" s="74">
        <v>15113</v>
      </c>
      <c r="D9" s="74">
        <v>16051</v>
      </c>
      <c r="E9" s="74">
        <v>17085</v>
      </c>
      <c r="F9" s="79">
        <v>7</v>
      </c>
      <c r="G9" s="79">
        <v>4</v>
      </c>
      <c r="H9" s="79">
        <v>5</v>
      </c>
      <c r="I9" s="76">
        <v>1.5973004701869617E-3</v>
      </c>
      <c r="J9" s="77">
        <v>99554.366120963765</v>
      </c>
      <c r="K9" s="77">
        <v>159.01823581417557</v>
      </c>
      <c r="L9" s="77">
        <v>99474.857003056677</v>
      </c>
      <c r="M9" s="77">
        <v>6217354.2756380131</v>
      </c>
      <c r="N9" s="78">
        <v>62.451849355191534</v>
      </c>
      <c r="O9" s="77"/>
      <c r="P9" s="77"/>
      <c r="S9" s="78"/>
    </row>
    <row r="10" spans="1:22">
      <c r="A10" s="74" t="s">
        <v>59</v>
      </c>
      <c r="B10" s="74">
        <v>13056</v>
      </c>
      <c r="C10" s="74">
        <v>12847</v>
      </c>
      <c r="D10" s="74">
        <v>12977</v>
      </c>
      <c r="E10" s="74">
        <v>13386</v>
      </c>
      <c r="F10" s="79">
        <v>3</v>
      </c>
      <c r="G10" s="79">
        <v>9</v>
      </c>
      <c r="H10" s="79">
        <v>8</v>
      </c>
      <c r="I10" s="76">
        <v>2.8341954781251275E-3</v>
      </c>
      <c r="J10" s="77">
        <v>99395.347885149589</v>
      </c>
      <c r="K10" s="77">
        <v>281.70584552276705</v>
      </c>
      <c r="L10" s="77">
        <v>99254.494962388213</v>
      </c>
      <c r="M10" s="77">
        <v>5719979.99062273</v>
      </c>
      <c r="N10" s="78">
        <v>57.54776367634544</v>
      </c>
      <c r="O10" s="77"/>
      <c r="P10" s="77"/>
      <c r="S10" s="78"/>
    </row>
    <row r="11" spans="1:22">
      <c r="A11" s="74" t="s">
        <v>60</v>
      </c>
      <c r="B11" s="74">
        <v>17992</v>
      </c>
      <c r="C11" s="74">
        <v>16859</v>
      </c>
      <c r="D11" s="74">
        <v>15739</v>
      </c>
      <c r="E11" s="74">
        <v>15065</v>
      </c>
      <c r="F11" s="79">
        <v>7</v>
      </c>
      <c r="G11" s="79">
        <v>17</v>
      </c>
      <c r="H11" s="79">
        <v>17</v>
      </c>
      <c r="I11" s="76">
        <v>3.5839834455775026E-3</v>
      </c>
      <c r="J11" s="77">
        <v>99113.642039626822</v>
      </c>
      <c r="K11" s="77">
        <v>355.22165230092651</v>
      </c>
      <c r="L11" s="77">
        <v>98936.031213476352</v>
      </c>
      <c r="M11" s="77">
        <v>5223707.5158107886</v>
      </c>
      <c r="N11" s="78">
        <v>52.704223236214929</v>
      </c>
      <c r="O11" s="77"/>
      <c r="P11" s="77"/>
      <c r="S11" s="78"/>
    </row>
    <row r="12" spans="1:22">
      <c r="A12" s="74" t="s">
        <v>61</v>
      </c>
      <c r="B12" s="74">
        <v>27645</v>
      </c>
      <c r="C12" s="74">
        <v>26884</v>
      </c>
      <c r="D12" s="74">
        <v>25812</v>
      </c>
      <c r="E12" s="74">
        <v>24267</v>
      </c>
      <c r="F12" s="79">
        <v>26</v>
      </c>
      <c r="G12" s="79">
        <v>18</v>
      </c>
      <c r="H12" s="79">
        <v>13</v>
      </c>
      <c r="I12" s="76">
        <v>4.132993732974698E-3</v>
      </c>
      <c r="J12" s="77">
        <v>98758.420387325896</v>
      </c>
      <c r="K12" s="77">
        <v>408.16793253930518</v>
      </c>
      <c r="L12" s="77">
        <v>98554.336421056243</v>
      </c>
      <c r="M12" s="77">
        <v>4729027.359743407</v>
      </c>
      <c r="N12" s="78">
        <v>47.884801530810066</v>
      </c>
      <c r="O12" s="77"/>
      <c r="P12" s="77"/>
      <c r="S12" s="78"/>
    </row>
    <row r="13" spans="1:22" ht="13.5">
      <c r="A13" s="74" t="s">
        <v>62</v>
      </c>
      <c r="B13" s="74">
        <v>33620</v>
      </c>
      <c r="C13" s="74">
        <v>32966</v>
      </c>
      <c r="D13" s="74">
        <v>32444</v>
      </c>
      <c r="E13" s="74">
        <v>31730</v>
      </c>
      <c r="F13" s="79">
        <v>37</v>
      </c>
      <c r="G13" s="79">
        <v>38</v>
      </c>
      <c r="H13" s="79">
        <v>41</v>
      </c>
      <c r="I13" s="76">
        <v>5.6046126859524157E-3</v>
      </c>
      <c r="J13" s="77">
        <v>98350.252454786591</v>
      </c>
      <c r="K13" s="77">
        <v>551.21507257471967</v>
      </c>
      <c r="L13" s="77">
        <v>98074.644918499223</v>
      </c>
      <c r="M13" s="77">
        <v>4236255.6776381256</v>
      </c>
      <c r="N13" s="78">
        <v>43.073155095210453</v>
      </c>
      <c r="O13" s="77"/>
      <c r="P13" s="68" t="s">
        <v>63</v>
      </c>
      <c r="S13" s="78"/>
    </row>
    <row r="14" spans="1:22" ht="13.5">
      <c r="A14" s="74" t="s">
        <v>64</v>
      </c>
      <c r="B14" s="74">
        <v>35601</v>
      </c>
      <c r="C14" s="74">
        <v>35436</v>
      </c>
      <c r="D14" s="74">
        <v>35208</v>
      </c>
      <c r="E14" s="74">
        <v>34632</v>
      </c>
      <c r="F14" s="79">
        <v>59</v>
      </c>
      <c r="G14" s="79">
        <v>72</v>
      </c>
      <c r="H14" s="79">
        <v>60</v>
      </c>
      <c r="I14" s="76">
        <v>8.9393962028650031E-3</v>
      </c>
      <c r="J14" s="77">
        <v>97799.037382211871</v>
      </c>
      <c r="K14" s="77">
        <v>874.26434341839922</v>
      </c>
      <c r="L14" s="77">
        <v>97361.905210502679</v>
      </c>
      <c r="M14" s="77">
        <v>3745882.4530456299</v>
      </c>
      <c r="N14" s="78">
        <v>38.30183356924276</v>
      </c>
      <c r="O14" s="77"/>
      <c r="P14" s="77"/>
      <c r="Q14" s="78"/>
      <c r="R14" s="78"/>
      <c r="S14" s="68"/>
      <c r="T14" s="67" t="s">
        <v>65</v>
      </c>
    </row>
    <row r="15" spans="1:22" ht="15">
      <c r="A15" s="74" t="s">
        <v>66</v>
      </c>
      <c r="B15" s="74">
        <v>30414</v>
      </c>
      <c r="C15" s="74">
        <v>32415</v>
      </c>
      <c r="D15" s="74">
        <v>34001</v>
      </c>
      <c r="E15" s="74">
        <v>35301</v>
      </c>
      <c r="F15" s="79">
        <v>95</v>
      </c>
      <c r="G15" s="79">
        <v>99</v>
      </c>
      <c r="H15" s="79">
        <v>104</v>
      </c>
      <c r="I15" s="76">
        <v>1.5122769914629314E-2</v>
      </c>
      <c r="J15" s="77">
        <v>96924.773038793472</v>
      </c>
      <c r="K15" s="77">
        <v>1465.7710416933405</v>
      </c>
      <c r="L15" s="77">
        <v>96191.887517946801</v>
      </c>
      <c r="M15" s="77">
        <v>3259072.9269931163</v>
      </c>
      <c r="N15" s="78">
        <v>33.624767175763154</v>
      </c>
      <c r="O15" s="77">
        <f>$T15*L15*5</f>
        <v>349722.65926234121</v>
      </c>
      <c r="P15" s="77">
        <f>SUM(O15:O$23)</f>
        <v>1556644.2941077801</v>
      </c>
      <c r="Q15" s="78">
        <f>P15/J15</f>
        <v>16.060334683319237</v>
      </c>
      <c r="R15" s="78"/>
      <c r="S15" s="81" t="s">
        <v>67</v>
      </c>
      <c r="T15" s="103">
        <f>'nový výpočet'!R28</f>
        <v>0.72713545453007644</v>
      </c>
    </row>
    <row r="16" spans="1:22" ht="15">
      <c r="A16" s="74" t="s">
        <v>68</v>
      </c>
      <c r="B16" s="74">
        <v>21571</v>
      </c>
      <c r="C16" s="74">
        <v>22856</v>
      </c>
      <c r="D16" s="74">
        <v>24444</v>
      </c>
      <c r="E16" s="74">
        <v>26353</v>
      </c>
      <c r="F16" s="79">
        <v>119</v>
      </c>
      <c r="G16" s="79">
        <v>120</v>
      </c>
      <c r="H16" s="79">
        <v>142</v>
      </c>
      <c r="I16" s="76">
        <v>2.6390516972557256E-2</v>
      </c>
      <c r="J16" s="77">
        <v>95459.001997100131</v>
      </c>
      <c r="K16" s="77">
        <v>2519.2124123878457</v>
      </c>
      <c r="L16" s="77">
        <v>94199.395790906216</v>
      </c>
      <c r="M16" s="77">
        <v>2778113.4894033824</v>
      </c>
      <c r="N16" s="78">
        <v>29.1026873451681</v>
      </c>
      <c r="O16" s="77">
        <f>$T15*L16*5</f>
        <v>342478.60237439576</v>
      </c>
      <c r="P16" s="77">
        <f>SUM(O16:O$23)</f>
        <v>1206921.6348454389</v>
      </c>
      <c r="Q16" s="78">
        <f>P16/J16</f>
        <v>12.643350648921544</v>
      </c>
      <c r="R16" s="68" t="s">
        <v>69</v>
      </c>
      <c r="S16" s="82" t="s">
        <v>70</v>
      </c>
      <c r="T16" s="103">
        <f>'nový výpočet'!S28</f>
        <v>0.77200000000000002</v>
      </c>
      <c r="U16" s="83"/>
    </row>
    <row r="17" spans="1:21" ht="15">
      <c r="A17" s="74" t="s">
        <v>71</v>
      </c>
      <c r="B17" s="74">
        <v>19728</v>
      </c>
      <c r="C17" s="74">
        <v>19528</v>
      </c>
      <c r="D17" s="74">
        <v>19418</v>
      </c>
      <c r="E17" s="74">
        <v>19531</v>
      </c>
      <c r="F17" s="79">
        <v>206</v>
      </c>
      <c r="G17" s="79">
        <v>146</v>
      </c>
      <c r="H17" s="79">
        <v>166</v>
      </c>
      <c r="I17" s="76">
        <v>4.2070944784665325E-2</v>
      </c>
      <c r="J17" s="77">
        <v>92939.789584712285</v>
      </c>
      <c r="K17" s="77">
        <v>3910.0647559168428</v>
      </c>
      <c r="L17" s="77">
        <v>90984.757206753857</v>
      </c>
      <c r="M17" s="77">
        <v>2307116.5104488512</v>
      </c>
      <c r="N17" s="78">
        <v>24.823775917267085</v>
      </c>
      <c r="O17" s="77">
        <f>$T16*L17*5</f>
        <v>351201.16281806986</v>
      </c>
      <c r="P17" s="77">
        <f>SUM(O17:O$23)</f>
        <v>864443.03247104306</v>
      </c>
      <c r="Q17" s="78">
        <f>P17/J17</f>
        <v>9.3011081296146561</v>
      </c>
      <c r="R17" s="84">
        <f>(AVERAGE(Q16:Q17)/AVERAGE(N16:N17))</f>
        <v>0.40693302417669519</v>
      </c>
      <c r="S17" s="75" t="s">
        <v>12</v>
      </c>
      <c r="T17" s="103">
        <f>'nový výpočet'!T28</f>
        <v>0.20436303354859681</v>
      </c>
    </row>
    <row r="18" spans="1:21" ht="15">
      <c r="A18" s="74" t="s">
        <v>72</v>
      </c>
      <c r="B18" s="74">
        <v>19233</v>
      </c>
      <c r="C18" s="74">
        <v>18777</v>
      </c>
      <c r="D18" s="74">
        <v>18735</v>
      </c>
      <c r="E18" s="74">
        <v>18811</v>
      </c>
      <c r="F18" s="79">
        <v>277</v>
      </c>
      <c r="G18" s="79">
        <v>251</v>
      </c>
      <c r="H18" s="79">
        <v>236</v>
      </c>
      <c r="I18" s="76">
        <v>6.7888532440434537E-2</v>
      </c>
      <c r="J18" s="77">
        <v>89029.724828795443</v>
      </c>
      <c r="K18" s="77">
        <v>6044.0973622026504</v>
      </c>
      <c r="L18" s="77">
        <v>86007.676147694117</v>
      </c>
      <c r="M18" s="77">
        <v>1852192.724415082</v>
      </c>
      <c r="N18" s="78">
        <v>20.80420587592354</v>
      </c>
      <c r="O18" s="77">
        <f>$T16*L18*5</f>
        <v>331989.62993009936</v>
      </c>
      <c r="P18" s="77">
        <f>SUM(O18:O$23)</f>
        <v>513241.86965297314</v>
      </c>
      <c r="Q18" s="78">
        <f t="shared" ref="Q18:Q21" si="0">P18/J18</f>
        <v>5.7648372006084436</v>
      </c>
      <c r="R18" s="78"/>
      <c r="S18" s="75" t="s">
        <v>13</v>
      </c>
      <c r="T18" s="103">
        <f>'nový výpočet'!U28</f>
        <v>5.4098768758011534E-2</v>
      </c>
    </row>
    <row r="19" spans="1:21" ht="15">
      <c r="A19" s="74" t="s">
        <v>73</v>
      </c>
      <c r="B19" s="74">
        <v>20196</v>
      </c>
      <c r="C19" s="74">
        <v>19950</v>
      </c>
      <c r="D19" s="74">
        <v>19358</v>
      </c>
      <c r="E19" s="74">
        <v>18793</v>
      </c>
      <c r="F19" s="79">
        <v>497</v>
      </c>
      <c r="G19" s="79">
        <v>457</v>
      </c>
      <c r="H19" s="79">
        <v>401</v>
      </c>
      <c r="I19" s="76">
        <v>0.10612303671160211</v>
      </c>
      <c r="J19" s="77">
        <v>82985.627466592792</v>
      </c>
      <c r="K19" s="77">
        <v>8806.6867901725636</v>
      </c>
      <c r="L19" s="77">
        <v>78582.28407150651</v>
      </c>
      <c r="M19" s="77">
        <v>1422154.3436766113</v>
      </c>
      <c r="N19" s="78">
        <v>17.137357239952454</v>
      </c>
      <c r="O19" s="77">
        <f>T17*L19*5</f>
        <v>80296.569780153251</v>
      </c>
      <c r="P19" s="77">
        <f>SUM(O19:O$23)</f>
        <v>181252.23972287378</v>
      </c>
      <c r="Q19" s="78">
        <f t="shared" si="0"/>
        <v>2.1841401367464481</v>
      </c>
      <c r="R19" s="78"/>
      <c r="S19" s="75" t="s">
        <v>14</v>
      </c>
      <c r="T19" s="103">
        <f>'nový výpočet'!V28</f>
        <v>2.5000000000000001E-2</v>
      </c>
    </row>
    <row r="20" spans="1:21">
      <c r="A20" s="74" t="s">
        <v>74</v>
      </c>
      <c r="B20" s="74">
        <v>14932</v>
      </c>
      <c r="C20" s="74">
        <v>15646</v>
      </c>
      <c r="D20" s="74">
        <v>16316</v>
      </c>
      <c r="E20" s="74">
        <v>16976</v>
      </c>
      <c r="F20" s="79">
        <v>571</v>
      </c>
      <c r="G20" s="79">
        <v>548</v>
      </c>
      <c r="H20" s="79">
        <v>505</v>
      </c>
      <c r="I20" s="76">
        <v>0.15630188253225422</v>
      </c>
      <c r="J20" s="77">
        <v>74178.940676420229</v>
      </c>
      <c r="K20" s="77">
        <v>11594.30807197289</v>
      </c>
      <c r="L20" s="77">
        <v>68381.786640433784</v>
      </c>
      <c r="M20" s="77">
        <v>1029242.9233190786</v>
      </c>
      <c r="N20" s="78">
        <v>13.875136446188847</v>
      </c>
      <c r="O20" s="77">
        <f>T17*L20*5</f>
        <v>69873.546786559789</v>
      </c>
      <c r="P20" s="77">
        <f>SUM(O20:O$23)</f>
        <v>100955.66994272055</v>
      </c>
      <c r="Q20" s="78">
        <f t="shared" si="0"/>
        <v>1.3609748133652173</v>
      </c>
      <c r="R20" s="78"/>
      <c r="S20" s="68"/>
    </row>
    <row r="21" spans="1:21">
      <c r="A21" s="74" t="s">
        <v>75</v>
      </c>
      <c r="B21" s="74">
        <v>8540</v>
      </c>
      <c r="C21" s="74">
        <v>9157</v>
      </c>
      <c r="D21" s="74">
        <v>9891</v>
      </c>
      <c r="E21" s="74">
        <v>10486</v>
      </c>
      <c r="F21" s="79">
        <v>483</v>
      </c>
      <c r="G21" s="79">
        <v>458</v>
      </c>
      <c r="H21" s="79">
        <v>530</v>
      </c>
      <c r="I21" s="76">
        <v>0.22675503957501628</v>
      </c>
      <c r="J21" s="77">
        <v>62584.632604447339</v>
      </c>
      <c r="K21" s="77">
        <v>14191.380843009312</v>
      </c>
      <c r="L21" s="77">
        <v>55488.942182942686</v>
      </c>
      <c r="M21" s="77">
        <v>687333.99011690973</v>
      </c>
      <c r="N21" s="78">
        <v>10.98247223820991</v>
      </c>
      <c r="O21" s="77">
        <f>T18*L21*5</f>
        <v>15009.417258908441</v>
      </c>
      <c r="P21" s="77">
        <f>SUM(O21:O$23)</f>
        <v>31082.123156160764</v>
      </c>
      <c r="Q21" s="78">
        <f t="shared" si="0"/>
        <v>0.49664145753812461</v>
      </c>
      <c r="R21" s="78"/>
      <c r="S21" s="78"/>
      <c r="U21" s="83"/>
    </row>
    <row r="22" spans="1:21">
      <c r="A22" s="74" t="s">
        <v>76</v>
      </c>
      <c r="B22" s="74">
        <v>4749</v>
      </c>
      <c r="C22" s="74">
        <v>5022</v>
      </c>
      <c r="D22" s="74">
        <v>5259</v>
      </c>
      <c r="E22" s="74">
        <v>5603</v>
      </c>
      <c r="F22" s="79">
        <v>457</v>
      </c>
      <c r="G22" s="79">
        <v>417</v>
      </c>
      <c r="H22" s="79">
        <v>416</v>
      </c>
      <c r="I22" s="76">
        <v>0.34525211433465364</v>
      </c>
      <c r="J22" s="77">
        <v>48393.251761438027</v>
      </c>
      <c r="K22" s="77">
        <v>16707.872490165679</v>
      </c>
      <c r="L22" s="77">
        <v>40039.315516355186</v>
      </c>
      <c r="M22" s="77">
        <v>409889.27920219628</v>
      </c>
      <c r="N22" s="78">
        <v>8.4699676976204969</v>
      </c>
      <c r="O22" s="77">
        <f>T18*L22*5</f>
        <v>10830.388356741812</v>
      </c>
      <c r="P22" s="77">
        <f>SUM(O22:O$23)</f>
        <v>16072.705897252321</v>
      </c>
      <c r="Q22" s="78">
        <f>P22/J22</f>
        <v>0.33212700763497349</v>
      </c>
      <c r="R22" s="78"/>
      <c r="S22" s="78"/>
    </row>
    <row r="23" spans="1:21">
      <c r="A23" s="74" t="s">
        <v>14</v>
      </c>
      <c r="B23" s="74">
        <v>3539</v>
      </c>
      <c r="C23" s="74">
        <v>3529</v>
      </c>
      <c r="D23" s="74">
        <v>3787</v>
      </c>
      <c r="E23" s="74">
        <v>3933</v>
      </c>
      <c r="F23" s="74">
        <v>601</v>
      </c>
      <c r="G23" s="74">
        <v>497</v>
      </c>
      <c r="H23" s="74">
        <v>572</v>
      </c>
      <c r="I23" s="76">
        <v>0.54836803047218763</v>
      </c>
      <c r="J23" s="77">
        <v>31685.379271272348</v>
      </c>
      <c r="K23" s="77">
        <v>31685.379271272348</v>
      </c>
      <c r="L23" s="77">
        <v>209692.70162042032</v>
      </c>
      <c r="M23" s="77">
        <v>209692.70162042032</v>
      </c>
      <c r="N23" s="78">
        <v>6.6179640718562869</v>
      </c>
      <c r="O23" s="77">
        <f>T19*L23</f>
        <v>5242.3175405105085</v>
      </c>
      <c r="P23" s="77">
        <f>SUM(O23:O$23)</f>
        <v>5242.3175405105085</v>
      </c>
      <c r="Q23" s="78">
        <f>P23/J23</f>
        <v>0.16544910179640718</v>
      </c>
      <c r="R23" s="78"/>
    </row>
    <row r="24" spans="1:21">
      <c r="A24" s="67"/>
      <c r="B24" s="85"/>
    </row>
    <row r="25" spans="1:21">
      <c r="S25" s="86"/>
    </row>
    <row r="26" spans="1:21" ht="15" customHeight="1">
      <c r="B26" s="149" t="s">
        <v>42</v>
      </c>
      <c r="C26" s="150"/>
      <c r="D26" s="151"/>
      <c r="E26" s="87"/>
      <c r="F26" s="149" t="s">
        <v>43</v>
      </c>
      <c r="G26" s="150"/>
      <c r="H26" s="151"/>
      <c r="I26" s="152" t="s">
        <v>44</v>
      </c>
      <c r="J26" s="153"/>
      <c r="K26" s="153"/>
      <c r="L26" s="153"/>
      <c r="M26" s="153"/>
      <c r="N26" s="154"/>
      <c r="O26" s="86"/>
      <c r="P26" s="86"/>
      <c r="Q26" s="86"/>
      <c r="R26" s="86"/>
      <c r="S26" s="88"/>
    </row>
    <row r="27" spans="1:21" ht="12.95" customHeight="1">
      <c r="A27" s="74" t="s">
        <v>23</v>
      </c>
      <c r="B27" s="69">
        <v>2021</v>
      </c>
      <c r="C27" s="69">
        <v>2022</v>
      </c>
      <c r="D27" s="69">
        <v>2023</v>
      </c>
      <c r="E27" s="69">
        <v>2024</v>
      </c>
      <c r="F27" s="69">
        <v>2022</v>
      </c>
      <c r="G27" s="69">
        <v>2023</v>
      </c>
      <c r="H27" s="69">
        <v>2024</v>
      </c>
      <c r="I27" s="70" t="s">
        <v>46</v>
      </c>
      <c r="J27" s="71" t="s">
        <v>47</v>
      </c>
      <c r="K27" s="71" t="s">
        <v>48</v>
      </c>
      <c r="L27" s="71" t="s">
        <v>49</v>
      </c>
      <c r="M27" s="71" t="s">
        <v>50</v>
      </c>
      <c r="N27" s="72" t="s">
        <v>51</v>
      </c>
      <c r="O27" s="88"/>
      <c r="P27" s="88"/>
      <c r="Q27" s="88"/>
      <c r="R27" s="88"/>
      <c r="S27" s="78"/>
    </row>
    <row r="28" spans="1:21" ht="12.95" customHeight="1">
      <c r="A28" s="74" t="s">
        <v>54</v>
      </c>
      <c r="B28" s="74">
        <v>2775</v>
      </c>
      <c r="C28" s="74">
        <v>2604</v>
      </c>
      <c r="D28" s="89">
        <v>2449</v>
      </c>
      <c r="E28" s="89">
        <v>2179</v>
      </c>
      <c r="F28" s="74">
        <v>8</v>
      </c>
      <c r="G28" s="74">
        <v>4</v>
      </c>
      <c r="H28" s="74">
        <v>5</v>
      </c>
      <c r="I28" s="76">
        <v>2.3506637168141595E-3</v>
      </c>
      <c r="J28" s="77">
        <v>100000</v>
      </c>
      <c r="K28" s="77">
        <v>235.06637168141606</v>
      </c>
      <c r="L28" s="77">
        <v>99788.44026548673</v>
      </c>
      <c r="M28" s="77">
        <v>7468842.4242322976</v>
      </c>
      <c r="N28" s="78">
        <v>74.688424242322981</v>
      </c>
      <c r="O28" s="78"/>
      <c r="P28" s="78"/>
      <c r="Q28" s="78"/>
      <c r="R28" s="78"/>
      <c r="S28" s="78"/>
    </row>
    <row r="29" spans="1:21">
      <c r="A29" s="74" t="s">
        <v>55</v>
      </c>
      <c r="B29" s="74">
        <v>11785</v>
      </c>
      <c r="C29" s="74">
        <v>11654</v>
      </c>
      <c r="D29" s="89">
        <v>11341</v>
      </c>
      <c r="E29" s="89">
        <v>10938</v>
      </c>
      <c r="F29" s="74">
        <v>1</v>
      </c>
      <c r="G29" s="74">
        <v>0</v>
      </c>
      <c r="H29" s="74">
        <v>3</v>
      </c>
      <c r="I29" s="76">
        <v>4.6559676410248943E-4</v>
      </c>
      <c r="J29" s="77">
        <v>99764.933628318584</v>
      </c>
      <c r="K29" s="77">
        <v>46.450230268252199</v>
      </c>
      <c r="L29" s="77">
        <v>99741.708513184451</v>
      </c>
      <c r="M29" s="77">
        <v>7369053.9839668106</v>
      </c>
      <c r="N29" s="78">
        <v>73.864169663268157</v>
      </c>
      <c r="O29" s="78"/>
      <c r="P29" s="78"/>
      <c r="Q29" s="78"/>
      <c r="R29" s="78"/>
      <c r="S29" s="78"/>
    </row>
    <row r="30" spans="1:21">
      <c r="A30" s="74" t="s">
        <v>56</v>
      </c>
      <c r="B30" s="74">
        <v>14722</v>
      </c>
      <c r="C30" s="74">
        <v>14915</v>
      </c>
      <c r="D30" s="89">
        <v>15089</v>
      </c>
      <c r="E30" s="89">
        <v>15197</v>
      </c>
      <c r="F30" s="79">
        <v>2</v>
      </c>
      <c r="G30" s="79">
        <v>2</v>
      </c>
      <c r="H30" s="79">
        <v>2</v>
      </c>
      <c r="I30" s="76">
        <v>3.941288746183415E-4</v>
      </c>
      <c r="J30" s="77">
        <v>99718.483398050332</v>
      </c>
      <c r="K30" s="77">
        <v>39.301933640323114</v>
      </c>
      <c r="L30" s="77">
        <v>99698.83243123017</v>
      </c>
      <c r="M30" s="77">
        <v>6970087.1499140728</v>
      </c>
      <c r="N30" s="78">
        <v>69.897644974114698</v>
      </c>
      <c r="O30" s="78"/>
      <c r="P30" s="78"/>
      <c r="Q30" s="78"/>
      <c r="R30" s="78"/>
      <c r="S30" s="78"/>
    </row>
    <row r="31" spans="1:21">
      <c r="A31" s="74" t="s">
        <v>57</v>
      </c>
      <c r="B31" s="74">
        <v>13943</v>
      </c>
      <c r="C31" s="74">
        <v>14317</v>
      </c>
      <c r="D31" s="89">
        <v>14482</v>
      </c>
      <c r="E31" s="89">
        <v>14514</v>
      </c>
      <c r="F31" s="79">
        <v>1</v>
      </c>
      <c r="G31" s="79">
        <v>4</v>
      </c>
      <c r="H31" s="79">
        <v>1</v>
      </c>
      <c r="I31" s="76">
        <v>9.4154255661139951E-4</v>
      </c>
      <c r="J31" s="77">
        <v>99679.181464410009</v>
      </c>
      <c r="K31" s="77">
        <v>93.852191356927506</v>
      </c>
      <c r="L31" s="77">
        <v>99632.255368731538</v>
      </c>
      <c r="M31" s="77">
        <v>6471592.9877579222</v>
      </c>
      <c r="N31" s="78">
        <v>64.924218805594577</v>
      </c>
      <c r="O31" s="78"/>
      <c r="P31" s="78"/>
      <c r="Q31" s="78"/>
      <c r="R31" s="78"/>
      <c r="S31" s="78"/>
    </row>
    <row r="32" spans="1:21">
      <c r="A32" s="74" t="s">
        <v>58</v>
      </c>
      <c r="B32" s="74">
        <v>12746</v>
      </c>
      <c r="C32" s="74">
        <v>12924</v>
      </c>
      <c r="D32" s="89">
        <v>13278</v>
      </c>
      <c r="E32" s="89">
        <v>13556</v>
      </c>
      <c r="F32" s="79">
        <v>2</v>
      </c>
      <c r="G32" s="79">
        <v>8</v>
      </c>
      <c r="H32" s="79">
        <v>6</v>
      </c>
      <c r="I32" s="76">
        <v>1.8358872041890134E-3</v>
      </c>
      <c r="J32" s="77">
        <v>99585.329273053081</v>
      </c>
      <c r="K32" s="77">
        <v>182.82743173734343</v>
      </c>
      <c r="L32" s="77">
        <v>99493.915557184402</v>
      </c>
      <c r="M32" s="77">
        <v>5973431.7109142644</v>
      </c>
      <c r="N32" s="78">
        <v>59.983049255535505</v>
      </c>
      <c r="O32" s="78"/>
      <c r="P32" s="78"/>
      <c r="Q32" s="78"/>
      <c r="R32" s="78"/>
      <c r="S32" s="78"/>
    </row>
    <row r="33" spans="1:21">
      <c r="A33" s="74" t="s">
        <v>59</v>
      </c>
      <c r="B33" s="74">
        <v>13499</v>
      </c>
      <c r="C33" s="74">
        <v>13051</v>
      </c>
      <c r="D33" s="89">
        <v>12694</v>
      </c>
      <c r="E33" s="89">
        <v>12658</v>
      </c>
      <c r="F33" s="79">
        <v>9</v>
      </c>
      <c r="G33" s="79">
        <v>4</v>
      </c>
      <c r="H33" s="79">
        <v>9</v>
      </c>
      <c r="I33" s="76">
        <v>2.8700719950175832E-3</v>
      </c>
      <c r="J33" s="77">
        <v>99402.501841315738</v>
      </c>
      <c r="K33" s="77">
        <v>285.29233676944568</v>
      </c>
      <c r="L33" s="77">
        <v>99259.855672931008</v>
      </c>
      <c r="M33" s="77">
        <v>5475962.1331283422</v>
      </c>
      <c r="N33" s="78">
        <v>55.088775752043588</v>
      </c>
      <c r="O33" s="78"/>
      <c r="P33" s="78"/>
      <c r="Q33" s="78"/>
      <c r="R33" s="78"/>
      <c r="S33" s="78"/>
    </row>
    <row r="34" spans="1:21">
      <c r="A34" s="74" t="s">
        <v>60</v>
      </c>
      <c r="B34" s="74">
        <v>17029</v>
      </c>
      <c r="C34" s="74">
        <v>16157</v>
      </c>
      <c r="D34" s="89">
        <v>15293</v>
      </c>
      <c r="E34" s="89">
        <v>14540</v>
      </c>
      <c r="F34" s="79">
        <v>12</v>
      </c>
      <c r="G34" s="79">
        <v>14</v>
      </c>
      <c r="H34" s="79">
        <v>11</v>
      </c>
      <c r="I34" s="76">
        <v>3.9418380725340322E-3</v>
      </c>
      <c r="J34" s="77">
        <v>99117.209504546292</v>
      </c>
      <c r="K34" s="77">
        <v>390.70399006834486</v>
      </c>
      <c r="L34" s="77">
        <v>98921.85750951212</v>
      </c>
      <c r="M34" s="77">
        <v>4979662.8547636876</v>
      </c>
      <c r="N34" s="78">
        <v>50.240143761667156</v>
      </c>
      <c r="O34" s="78"/>
      <c r="P34" s="78"/>
      <c r="Q34" s="78"/>
      <c r="R34" s="78"/>
      <c r="S34" s="78"/>
    </row>
    <row r="35" spans="1:21">
      <c r="A35" s="74" t="s">
        <v>61</v>
      </c>
      <c r="B35" s="74">
        <v>20768</v>
      </c>
      <c r="C35" s="74">
        <v>20328</v>
      </c>
      <c r="D35" s="89">
        <v>19919</v>
      </c>
      <c r="E35" s="89">
        <v>19434</v>
      </c>
      <c r="F35" s="79">
        <v>20</v>
      </c>
      <c r="G35" s="79">
        <v>20</v>
      </c>
      <c r="H35" s="79">
        <v>27</v>
      </c>
      <c r="I35" s="76">
        <v>5.3550007120442408E-3</v>
      </c>
      <c r="J35" s="77">
        <v>98726.505514477947</v>
      </c>
      <c r="K35" s="77">
        <v>528.68050732766278</v>
      </c>
      <c r="L35" s="77">
        <v>98462.165260814116</v>
      </c>
      <c r="M35" s="77">
        <v>4485053.5672161272</v>
      </c>
      <c r="N35" s="78">
        <v>45.429072404050679</v>
      </c>
      <c r="O35" s="78"/>
      <c r="P35" s="78"/>
      <c r="Q35" s="78"/>
      <c r="R35" s="78"/>
      <c r="S35" s="78"/>
    </row>
    <row r="36" spans="1:21" ht="13.5">
      <c r="A36" s="74" t="s">
        <v>62</v>
      </c>
      <c r="B36" s="74">
        <v>23147</v>
      </c>
      <c r="C36" s="74">
        <v>22684</v>
      </c>
      <c r="D36" s="89">
        <v>22267</v>
      </c>
      <c r="E36" s="89">
        <v>21710</v>
      </c>
      <c r="F36" s="79">
        <v>35</v>
      </c>
      <c r="G36" s="79">
        <v>33</v>
      </c>
      <c r="H36" s="79">
        <v>34</v>
      </c>
      <c r="I36" s="76">
        <v>7.6938482281471727E-3</v>
      </c>
      <c r="J36" s="77">
        <v>98197.825007150284</v>
      </c>
      <c r="K36" s="77">
        <v>755.51916193916986</v>
      </c>
      <c r="L36" s="77">
        <v>97820.065426180692</v>
      </c>
      <c r="M36" s="77">
        <v>3992742.7409120565</v>
      </c>
      <c r="N36" s="78">
        <v>40.660195280509775</v>
      </c>
      <c r="O36" s="78"/>
      <c r="P36" s="78"/>
      <c r="Q36" s="78"/>
      <c r="R36" s="78"/>
      <c r="S36" s="68"/>
      <c r="T36" s="67" t="s">
        <v>65</v>
      </c>
    </row>
    <row r="37" spans="1:21">
      <c r="A37" s="74" t="s">
        <v>64</v>
      </c>
      <c r="B37" s="74">
        <v>25098</v>
      </c>
      <c r="C37" s="74">
        <v>24709</v>
      </c>
      <c r="D37" s="89">
        <v>24295</v>
      </c>
      <c r="E37" s="89">
        <v>23856</v>
      </c>
      <c r="F37" s="79">
        <v>68</v>
      </c>
      <c r="G37" s="79">
        <v>57</v>
      </c>
      <c r="H37" s="79">
        <v>56</v>
      </c>
      <c r="I37" s="76">
        <v>1.2316157059729119E-2</v>
      </c>
      <c r="J37" s="77">
        <v>97442.305845211115</v>
      </c>
      <c r="K37" s="77">
        <v>1200.114743051774</v>
      </c>
      <c r="L37" s="77">
        <v>96842.248473685235</v>
      </c>
      <c r="M37" s="77">
        <v>3503642.413781153</v>
      </c>
      <c r="N37" s="78">
        <v>35.956070450003033</v>
      </c>
      <c r="O37" s="77"/>
      <c r="P37" s="77"/>
      <c r="Q37" s="78"/>
      <c r="R37" s="78"/>
      <c r="S37" s="81" t="s">
        <v>67</v>
      </c>
      <c r="T37" s="94">
        <f>'nový výpočet'!R29</f>
        <v>0.70126634311431169</v>
      </c>
      <c r="U37" s="83"/>
    </row>
    <row r="38" spans="1:21">
      <c r="A38" s="74" t="s">
        <v>66</v>
      </c>
      <c r="B38" s="74">
        <v>24581</v>
      </c>
      <c r="C38" s="74">
        <v>25281</v>
      </c>
      <c r="D38" s="89">
        <v>25616</v>
      </c>
      <c r="E38" s="89">
        <v>25652</v>
      </c>
      <c r="F38" s="79">
        <v>101</v>
      </c>
      <c r="G38" s="79">
        <v>107</v>
      </c>
      <c r="H38" s="79">
        <v>98</v>
      </c>
      <c r="I38" s="76">
        <v>1.9005291641798129E-2</v>
      </c>
      <c r="J38" s="77">
        <v>96242.191102159341</v>
      </c>
      <c r="K38" s="77">
        <v>1829.1109101422044</v>
      </c>
      <c r="L38" s="77">
        <v>95327.635647088231</v>
      </c>
      <c r="M38" s="77">
        <v>3019431.1714127269</v>
      </c>
      <c r="N38" s="78">
        <v>31.373258825826767</v>
      </c>
      <c r="O38" s="77">
        <f>T37*L38*5</f>
        <v>334250.31223983533</v>
      </c>
      <c r="P38" s="77">
        <f>SUM(O38:O$46)</f>
        <v>1359561.6070775404</v>
      </c>
      <c r="Q38" s="78">
        <f>P38/J38</f>
        <v>14.126461497893272</v>
      </c>
      <c r="R38" s="78" t="s">
        <v>77</v>
      </c>
      <c r="S38" s="82" t="s">
        <v>70</v>
      </c>
      <c r="T38" s="95">
        <f>'nový výpočet'!S29</f>
        <v>0.433</v>
      </c>
      <c r="U38" s="83"/>
    </row>
    <row r="39" spans="1:21">
      <c r="A39" s="74" t="s">
        <v>68</v>
      </c>
      <c r="B39" s="74">
        <v>19356</v>
      </c>
      <c r="C39" s="74">
        <v>20037</v>
      </c>
      <c r="D39" s="89">
        <v>21087</v>
      </c>
      <c r="E39" s="89">
        <v>22099</v>
      </c>
      <c r="F39" s="79">
        <v>110</v>
      </c>
      <c r="G39" s="79">
        <v>134</v>
      </c>
      <c r="H39" s="79">
        <v>132</v>
      </c>
      <c r="I39" s="76">
        <v>3.1174453757526272E-2</v>
      </c>
      <c r="J39" s="77">
        <v>94413.080192017136</v>
      </c>
      <c r="K39" s="77">
        <v>2943.2762025516568</v>
      </c>
      <c r="L39" s="77">
        <v>92941.4420907413</v>
      </c>
      <c r="M39" s="77">
        <v>2542792.9931772859</v>
      </c>
      <c r="N39" s="78">
        <v>26.932634630771059</v>
      </c>
      <c r="O39" s="77">
        <f>T37*L39*5</f>
        <v>325883.5260937236</v>
      </c>
      <c r="P39" s="77">
        <f>SUM(O39:O$46)</f>
        <v>1025311.2948377049</v>
      </c>
      <c r="Q39" s="78">
        <f>P39/J39</f>
        <v>10.859843707592516</v>
      </c>
      <c r="R39" s="68" t="s">
        <v>69</v>
      </c>
      <c r="S39" s="75" t="s">
        <v>12</v>
      </c>
      <c r="T39" s="95">
        <f>'nový výpočet'!T29</f>
        <v>0.31733304157217929</v>
      </c>
      <c r="U39" s="83"/>
    </row>
    <row r="40" spans="1:21">
      <c r="A40" s="74" t="s">
        <v>71</v>
      </c>
      <c r="B40" s="74">
        <v>18554</v>
      </c>
      <c r="C40" s="74">
        <v>18429</v>
      </c>
      <c r="D40" s="89">
        <v>18271</v>
      </c>
      <c r="E40" s="89">
        <v>18199</v>
      </c>
      <c r="F40" s="79">
        <v>231</v>
      </c>
      <c r="G40" s="79">
        <v>190</v>
      </c>
      <c r="H40" s="79">
        <v>194</v>
      </c>
      <c r="I40" s="76">
        <v>5.4610385887874556E-2</v>
      </c>
      <c r="J40" s="77">
        <v>91469.803989465479</v>
      </c>
      <c r="K40" s="77">
        <v>4995.2012929529592</v>
      </c>
      <c r="L40" s="77">
        <v>88972.203342989</v>
      </c>
      <c r="M40" s="77">
        <v>2078085.7827235793</v>
      </c>
      <c r="N40" s="78">
        <v>22.718817490446476</v>
      </c>
      <c r="O40" s="77">
        <f>T38*L40*5</f>
        <v>192624.8202375712</v>
      </c>
      <c r="P40" s="77">
        <f>SUM(O40:O$46)</f>
        <v>699427.76874398137</v>
      </c>
      <c r="Q40" s="78">
        <f>P40/J40</f>
        <v>7.646542774099899</v>
      </c>
      <c r="R40" s="84">
        <f>(AVERAGE(Q39:Q40)/AVERAGE(N39:N40))</f>
        <v>0.37272598667429691</v>
      </c>
      <c r="S40" s="75" t="s">
        <v>13</v>
      </c>
      <c r="T40" s="95">
        <f>'nový výpočet'!U29</f>
        <v>0.23256410917655998</v>
      </c>
      <c r="U40" s="83"/>
    </row>
    <row r="41" spans="1:21">
      <c r="A41" s="74" t="s">
        <v>72</v>
      </c>
      <c r="B41" s="74">
        <v>17690</v>
      </c>
      <c r="C41" s="74">
        <v>17406</v>
      </c>
      <c r="D41" s="89">
        <v>17223</v>
      </c>
      <c r="E41" s="89">
        <v>17497</v>
      </c>
      <c r="F41" s="79">
        <v>376</v>
      </c>
      <c r="G41" s="79">
        <v>306</v>
      </c>
      <c r="H41" s="79">
        <v>286</v>
      </c>
      <c r="I41" s="76">
        <v>8.6598569011208784E-2</v>
      </c>
      <c r="J41" s="77">
        <v>86474.60269651252</v>
      </c>
      <c r="K41" s="77">
        <v>7488.5768493307987</v>
      </c>
      <c r="L41" s="77">
        <v>82730.314271847121</v>
      </c>
      <c r="M41" s="77">
        <v>1633224.7660086344</v>
      </c>
      <c r="N41" s="78">
        <v>18.886756516714261</v>
      </c>
      <c r="O41" s="77">
        <f>T38*L41*5</f>
        <v>179111.13039854902</v>
      </c>
      <c r="P41" s="77">
        <f>SUM(O41:O$46)</f>
        <v>506802.94850641018</v>
      </c>
      <c r="Q41" s="78">
        <f t="shared" ref="Q41:Q46" si="1">P41/J41</f>
        <v>5.8607143913116735</v>
      </c>
      <c r="R41" s="78"/>
      <c r="S41" s="75" t="s">
        <v>14</v>
      </c>
      <c r="T41" s="95">
        <f>'nový výpočet'!V29</f>
        <v>2.5000000000000001E-2</v>
      </c>
      <c r="U41" s="83"/>
    </row>
    <row r="42" spans="1:21">
      <c r="A42" s="74" t="s">
        <v>73</v>
      </c>
      <c r="B42" s="74">
        <v>16833</v>
      </c>
      <c r="C42" s="74">
        <v>16897</v>
      </c>
      <c r="D42" s="89">
        <v>16882</v>
      </c>
      <c r="E42" s="89">
        <v>16563</v>
      </c>
      <c r="F42" s="79">
        <v>483</v>
      </c>
      <c r="G42" s="79">
        <v>441</v>
      </c>
      <c r="H42" s="79">
        <v>416</v>
      </c>
      <c r="I42" s="76">
        <v>0.12354882216960326</v>
      </c>
      <c r="J42" s="77">
        <v>78986.025847181721</v>
      </c>
      <c r="K42" s="77">
        <v>9758.6304612771492</v>
      </c>
      <c r="L42" s="77">
        <v>74106.710616543147</v>
      </c>
      <c r="M42" s="77">
        <v>1219573.1946493988</v>
      </c>
      <c r="N42" s="78">
        <v>15.440366591034332</v>
      </c>
      <c r="O42" s="77">
        <f>T39*L42*5</f>
        <v>117582.53940428473</v>
      </c>
      <c r="P42" s="77">
        <f>SUM(O42:O$46)</f>
        <v>327691.81810786121</v>
      </c>
      <c r="Q42" s="78">
        <f t="shared" si="1"/>
        <v>4.1487315584387447</v>
      </c>
      <c r="R42" s="78"/>
      <c r="S42" s="68"/>
    </row>
    <row r="43" spans="1:21">
      <c r="A43" s="74" t="s">
        <v>74</v>
      </c>
      <c r="B43" s="74">
        <v>12004</v>
      </c>
      <c r="C43" s="74">
        <v>12639</v>
      </c>
      <c r="D43" s="89">
        <v>13238</v>
      </c>
      <c r="E43" s="89">
        <v>13829</v>
      </c>
      <c r="F43" s="79">
        <v>514</v>
      </c>
      <c r="G43" s="79">
        <v>524</v>
      </c>
      <c r="H43" s="79">
        <v>505</v>
      </c>
      <c r="I43" s="76">
        <v>0.18726575509499932</v>
      </c>
      <c r="J43" s="77">
        <v>69227.395385904572</v>
      </c>
      <c r="K43" s="77">
        <v>12963.92047020149</v>
      </c>
      <c r="L43" s="77">
        <v>62745.435150803823</v>
      </c>
      <c r="M43" s="77">
        <v>849039.64156668307</v>
      </c>
      <c r="N43" s="78">
        <v>12.264503623655852</v>
      </c>
      <c r="O43" s="77">
        <f>T39*L43*5</f>
        <v>99555.998905872548</v>
      </c>
      <c r="P43" s="77">
        <f>SUM(O43:O$46)</f>
        <v>210109.27870357642</v>
      </c>
      <c r="Q43" s="78">
        <f t="shared" si="1"/>
        <v>3.0350597120162184</v>
      </c>
      <c r="R43" s="78"/>
      <c r="S43" s="68"/>
      <c r="T43" s="83"/>
      <c r="U43" s="83"/>
    </row>
    <row r="44" spans="1:21">
      <c r="A44" s="74" t="s">
        <v>75</v>
      </c>
      <c r="B44" s="74">
        <v>6625</v>
      </c>
      <c r="C44" s="74">
        <v>6973</v>
      </c>
      <c r="D44" s="89">
        <v>7483</v>
      </c>
      <c r="E44" s="89">
        <v>8053</v>
      </c>
      <c r="F44" s="79">
        <v>511</v>
      </c>
      <c r="G44" s="79">
        <v>474</v>
      </c>
      <c r="H44" s="79">
        <v>493</v>
      </c>
      <c r="I44" s="76">
        <v>0.27589657363389997</v>
      </c>
      <c r="J44" s="77">
        <v>56263.474915703082</v>
      </c>
      <c r="K44" s="77">
        <v>15522.899949979357</v>
      </c>
      <c r="L44" s="77">
        <v>48502.024940713403</v>
      </c>
      <c r="M44" s="77">
        <v>535312.46581266401</v>
      </c>
      <c r="N44" s="78">
        <v>9.5143868489228129</v>
      </c>
      <c r="O44" s="77">
        <f>T40*L44*5</f>
        <v>56399.151117981535</v>
      </c>
      <c r="P44" s="77">
        <f>SUM(O44:O$46)</f>
        <v>110553.27979770389</v>
      </c>
      <c r="Q44" s="78">
        <f t="shared" si="1"/>
        <v>1.9649209360662609</v>
      </c>
      <c r="R44" s="78"/>
      <c r="S44" s="78"/>
    </row>
    <row r="45" spans="1:21">
      <c r="A45" s="74" t="s">
        <v>76</v>
      </c>
      <c r="B45" s="74">
        <v>3710</v>
      </c>
      <c r="C45" s="74">
        <v>3841</v>
      </c>
      <c r="D45" s="89">
        <v>3985</v>
      </c>
      <c r="E45" s="89">
        <v>4145</v>
      </c>
      <c r="F45" s="79">
        <v>414</v>
      </c>
      <c r="G45" s="79">
        <v>368</v>
      </c>
      <c r="H45" s="79">
        <v>385</v>
      </c>
      <c r="I45" s="76">
        <v>0.39772339990457367</v>
      </c>
      <c r="J45" s="77">
        <v>40740.574965723725</v>
      </c>
      <c r="K45" s="77">
        <v>16203.479989434803</v>
      </c>
      <c r="L45" s="77">
        <v>32638.834971006323</v>
      </c>
      <c r="M45" s="77">
        <v>292802.34110909695</v>
      </c>
      <c r="N45" s="78">
        <v>7.1869957985482626</v>
      </c>
      <c r="O45" s="77">
        <f>T40*L45*5</f>
        <v>37953.10789796419</v>
      </c>
      <c r="P45" s="77">
        <f>SUM(O45:O$46)</f>
        <v>54154.128679722351</v>
      </c>
      <c r="Q45" s="78">
        <f t="shared" si="1"/>
        <v>1.3292431126778121</v>
      </c>
      <c r="R45" s="78"/>
      <c r="S45" s="78"/>
    </row>
    <row r="46" spans="1:21">
      <c r="A46" s="74" t="s">
        <v>14</v>
      </c>
      <c r="B46" s="74">
        <v>2142</v>
      </c>
      <c r="C46" s="74">
        <v>2176</v>
      </c>
      <c r="D46" s="89">
        <v>2298</v>
      </c>
      <c r="E46" s="89">
        <v>2390</v>
      </c>
      <c r="F46" s="74">
        <v>452</v>
      </c>
      <c r="G46" s="74">
        <v>388</v>
      </c>
      <c r="H46" s="74">
        <v>436</v>
      </c>
      <c r="I46" s="76">
        <v>0.64249748237663651</v>
      </c>
      <c r="J46" s="77">
        <v>24537.094976288921</v>
      </c>
      <c r="K46" s="77">
        <v>24537.094976288921</v>
      </c>
      <c r="L46" s="77">
        <v>129608.16625406531</v>
      </c>
      <c r="M46" s="77">
        <v>129608.16625406531</v>
      </c>
      <c r="N46" s="78">
        <v>5.2821316614420066</v>
      </c>
      <c r="O46" s="77">
        <f>T41*L46*5</f>
        <v>16201.020781758163</v>
      </c>
      <c r="P46" s="77">
        <f>SUM(O46:O$46)</f>
        <v>16201.020781758163</v>
      </c>
      <c r="Q46" s="78">
        <f t="shared" si="1"/>
        <v>0.66026645768025083</v>
      </c>
      <c r="R46" s="78"/>
    </row>
    <row r="47" spans="1:21">
      <c r="A47" s="67"/>
      <c r="B47" s="85"/>
    </row>
    <row r="48" spans="1:21">
      <c r="S48" s="86"/>
    </row>
    <row r="49" spans="1:20">
      <c r="B49" s="149" t="s">
        <v>42</v>
      </c>
      <c r="C49" s="150"/>
      <c r="D49" s="150"/>
      <c r="E49" s="151"/>
      <c r="F49" s="149" t="s">
        <v>43</v>
      </c>
      <c r="G49" s="150"/>
      <c r="H49" s="151"/>
      <c r="I49" s="152" t="s">
        <v>44</v>
      </c>
      <c r="J49" s="153"/>
      <c r="K49" s="153"/>
      <c r="L49" s="153"/>
      <c r="M49" s="153"/>
      <c r="N49" s="154"/>
      <c r="O49" s="86"/>
      <c r="P49" s="86"/>
      <c r="Q49" s="86"/>
      <c r="R49" s="86"/>
      <c r="S49" s="88"/>
    </row>
    <row r="50" spans="1:20">
      <c r="A50" s="74" t="s">
        <v>24</v>
      </c>
      <c r="B50" s="69">
        <v>2021</v>
      </c>
      <c r="C50" s="69">
        <v>2022</v>
      </c>
      <c r="D50" s="69">
        <v>2023</v>
      </c>
      <c r="E50" s="69">
        <v>2024</v>
      </c>
      <c r="F50" s="69">
        <v>2022</v>
      </c>
      <c r="G50" s="69">
        <v>2023</v>
      </c>
      <c r="H50" s="69">
        <v>2024</v>
      </c>
      <c r="I50" s="70" t="s">
        <v>46</v>
      </c>
      <c r="J50" s="71" t="s">
        <v>47</v>
      </c>
      <c r="K50" s="71" t="s">
        <v>48</v>
      </c>
      <c r="L50" s="71" t="s">
        <v>49</v>
      </c>
      <c r="M50" s="71" t="s">
        <v>50</v>
      </c>
      <c r="N50" s="72" t="s">
        <v>51</v>
      </c>
      <c r="O50" s="88"/>
      <c r="P50" s="88"/>
      <c r="Q50" s="88"/>
      <c r="R50" s="88"/>
      <c r="S50" s="78"/>
    </row>
    <row r="51" spans="1:20">
      <c r="A51" s="74" t="s">
        <v>54</v>
      </c>
      <c r="B51" s="74">
        <v>2676</v>
      </c>
      <c r="C51" s="74">
        <v>2467</v>
      </c>
      <c r="D51" s="74">
        <v>2171</v>
      </c>
      <c r="E51" s="68">
        <v>1994</v>
      </c>
      <c r="F51" s="74">
        <v>8</v>
      </c>
      <c r="G51" s="74">
        <v>8</v>
      </c>
      <c r="H51" s="68">
        <v>1</v>
      </c>
      <c r="I51" s="76">
        <v>2.5633293124246079E-3</v>
      </c>
      <c r="J51" s="77">
        <v>100000</v>
      </c>
      <c r="K51" s="77">
        <v>256.3329312424612</v>
      </c>
      <c r="L51" s="77">
        <v>99769.300361881789</v>
      </c>
      <c r="M51" s="77">
        <v>7508028.3690662244</v>
      </c>
      <c r="N51" s="78">
        <v>75.080283690662242</v>
      </c>
      <c r="O51" s="78"/>
      <c r="P51" s="78"/>
      <c r="Q51" s="78"/>
      <c r="R51" s="78"/>
      <c r="S51" s="78"/>
    </row>
    <row r="52" spans="1:20">
      <c r="A52" s="74" t="s">
        <v>55</v>
      </c>
      <c r="B52" s="74">
        <v>11290</v>
      </c>
      <c r="C52" s="74">
        <v>11097</v>
      </c>
      <c r="D52" s="74">
        <v>10771</v>
      </c>
      <c r="E52" s="68">
        <v>10161</v>
      </c>
      <c r="F52" s="74">
        <v>2</v>
      </c>
      <c r="G52" s="74">
        <v>1</v>
      </c>
      <c r="H52" s="68">
        <v>1</v>
      </c>
      <c r="I52" s="76">
        <v>4.9077496434213157E-4</v>
      </c>
      <c r="J52" s="77">
        <v>99743.667068757539</v>
      </c>
      <c r="K52" s="77">
        <v>48.951694649018464</v>
      </c>
      <c r="L52" s="77">
        <v>99719.191221433022</v>
      </c>
      <c r="M52" s="77">
        <v>7408259.0687043425</v>
      </c>
      <c r="N52" s="78">
        <v>74.272976785558882</v>
      </c>
      <c r="O52" s="78"/>
      <c r="P52" s="78"/>
      <c r="Q52" s="78"/>
      <c r="R52" s="78"/>
      <c r="S52" s="78"/>
    </row>
    <row r="53" spans="1:20">
      <c r="A53" s="74" t="s">
        <v>56</v>
      </c>
      <c r="B53" s="74">
        <v>14106</v>
      </c>
      <c r="C53" s="74">
        <v>14252</v>
      </c>
      <c r="D53" s="74">
        <v>14270</v>
      </c>
      <c r="E53" s="68">
        <v>14354</v>
      </c>
      <c r="F53" s="79">
        <v>1</v>
      </c>
      <c r="G53" s="79">
        <v>1</v>
      </c>
      <c r="H53" s="68">
        <v>0</v>
      </c>
      <c r="I53" s="76">
        <v>1.0438740399201413E-4</v>
      </c>
      <c r="J53" s="77">
        <v>99694.71537410852</v>
      </c>
      <c r="K53" s="77">
        <v>10.406872529623797</v>
      </c>
      <c r="L53" s="77">
        <v>99689.511937843708</v>
      </c>
      <c r="M53" s="77">
        <v>7009382.3038186105</v>
      </c>
      <c r="N53" s="78">
        <v>70.308463969385087</v>
      </c>
      <c r="O53" s="78"/>
      <c r="P53" s="78"/>
      <c r="Q53" s="78"/>
      <c r="R53" s="78"/>
      <c r="S53" s="78"/>
    </row>
    <row r="54" spans="1:20">
      <c r="A54" s="74" t="s">
        <v>57</v>
      </c>
      <c r="B54" s="74">
        <v>13892</v>
      </c>
      <c r="C54" s="74">
        <v>13981</v>
      </c>
      <c r="D54" s="74">
        <v>14130</v>
      </c>
      <c r="E54" s="68">
        <v>14139</v>
      </c>
      <c r="F54" s="90" t="s">
        <v>54</v>
      </c>
      <c r="G54" s="79">
        <v>3</v>
      </c>
      <c r="H54" s="68">
        <v>1</v>
      </c>
      <c r="I54" s="76">
        <v>6.3284774126866155E-4</v>
      </c>
      <c r="J54" s="77">
        <v>99684.308501578897</v>
      </c>
      <c r="K54" s="77">
        <v>63.084989475159091</v>
      </c>
      <c r="L54" s="77">
        <v>99652.766006841324</v>
      </c>
      <c r="M54" s="77">
        <v>6510934.7441293923</v>
      </c>
      <c r="N54" s="78">
        <v>65.315543057875217</v>
      </c>
      <c r="O54" s="78"/>
      <c r="P54" s="78"/>
      <c r="Q54" s="78"/>
      <c r="R54" s="78"/>
      <c r="S54" s="78"/>
    </row>
    <row r="55" spans="1:20">
      <c r="A55" s="74" t="s">
        <v>58</v>
      </c>
      <c r="B55" s="74">
        <v>12437</v>
      </c>
      <c r="C55" s="74">
        <v>12706</v>
      </c>
      <c r="D55" s="74">
        <v>13050</v>
      </c>
      <c r="E55" s="68">
        <v>13248</v>
      </c>
      <c r="F55" s="79">
        <v>7</v>
      </c>
      <c r="G55" s="79">
        <v>1</v>
      </c>
      <c r="H55" s="68">
        <v>5</v>
      </c>
      <c r="I55" s="76">
        <v>1.3088971927303263E-3</v>
      </c>
      <c r="J55" s="77">
        <v>99621.223512103737</v>
      </c>
      <c r="K55" s="77">
        <v>130.39393979134911</v>
      </c>
      <c r="L55" s="77">
        <v>99556.02654220807</v>
      </c>
      <c r="M55" s="77">
        <v>6012670.9140951857</v>
      </c>
      <c r="N55" s="78">
        <v>60.355320905737123</v>
      </c>
      <c r="O55" s="78"/>
      <c r="P55" s="78"/>
      <c r="Q55" s="78"/>
      <c r="R55" s="78"/>
      <c r="S55" s="78"/>
    </row>
    <row r="56" spans="1:20">
      <c r="A56" s="74" t="s">
        <v>59</v>
      </c>
      <c r="B56" s="74">
        <v>13695</v>
      </c>
      <c r="C56" s="74">
        <v>13046</v>
      </c>
      <c r="D56" s="74">
        <v>12711</v>
      </c>
      <c r="E56" s="68">
        <v>12453</v>
      </c>
      <c r="F56" s="79">
        <v>4</v>
      </c>
      <c r="G56" s="79">
        <v>8</v>
      </c>
      <c r="H56" s="68">
        <v>5</v>
      </c>
      <c r="I56" s="76">
        <v>2.7528312126013899E-3</v>
      </c>
      <c r="J56" s="77">
        <v>99490.829572312388</v>
      </c>
      <c r="K56" s="77">
        <v>273.88146101427265</v>
      </c>
      <c r="L56" s="77">
        <v>99353.888841805252</v>
      </c>
      <c r="M56" s="77">
        <v>5514890.7813841458</v>
      </c>
      <c r="N56" s="78">
        <v>55.431146821183027</v>
      </c>
      <c r="O56" s="78"/>
      <c r="P56" s="78"/>
      <c r="Q56" s="78"/>
      <c r="R56" s="78"/>
      <c r="S56" s="78"/>
    </row>
    <row r="57" spans="1:20">
      <c r="A57" s="74" t="s">
        <v>60</v>
      </c>
      <c r="B57" s="74">
        <v>17547</v>
      </c>
      <c r="C57" s="74">
        <v>16549</v>
      </c>
      <c r="D57" s="74">
        <v>15267</v>
      </c>
      <c r="E57" s="68">
        <v>14586</v>
      </c>
      <c r="F57" s="79">
        <v>24</v>
      </c>
      <c r="G57" s="79">
        <v>16</v>
      </c>
      <c r="H57" s="68">
        <v>12</v>
      </c>
      <c r="I57" s="76">
        <v>5.0526595193957826E-3</v>
      </c>
      <c r="J57" s="77">
        <v>99216.948111298116</v>
      </c>
      <c r="K57" s="77">
        <v>501.30945735995192</v>
      </c>
      <c r="L57" s="77">
        <v>98966.29338261814</v>
      </c>
      <c r="M57" s="77">
        <v>5018121.3371751197</v>
      </c>
      <c r="N57" s="78">
        <v>50.577259557973562</v>
      </c>
      <c r="O57" s="78"/>
      <c r="P57" s="78"/>
      <c r="Q57" s="78"/>
      <c r="R57" s="78"/>
      <c r="S57" s="78"/>
    </row>
    <row r="58" spans="1:20">
      <c r="A58" s="74" t="s">
        <v>61</v>
      </c>
      <c r="B58" s="74">
        <v>21057</v>
      </c>
      <c r="C58" s="74">
        <v>20340</v>
      </c>
      <c r="D58" s="74">
        <v>19825</v>
      </c>
      <c r="E58" s="68">
        <v>19054</v>
      </c>
      <c r="F58" s="79">
        <v>31</v>
      </c>
      <c r="G58" s="79">
        <v>23</v>
      </c>
      <c r="H58" s="68">
        <v>32</v>
      </c>
      <c r="I58" s="76">
        <v>6.685337698982957E-3</v>
      </c>
      <c r="J58" s="77">
        <v>98715.638653938164</v>
      </c>
      <c r="K58" s="77">
        <v>659.94738057235372</v>
      </c>
      <c r="L58" s="77">
        <v>98385.664963651987</v>
      </c>
      <c r="M58" s="77">
        <v>4523289.8702620286</v>
      </c>
      <c r="N58" s="78">
        <v>45.82141119624491</v>
      </c>
      <c r="O58" s="78"/>
      <c r="P58" s="78"/>
      <c r="Q58" s="78"/>
      <c r="R58" s="78"/>
      <c r="S58" s="78"/>
    </row>
    <row r="59" spans="1:20" ht="13.5">
      <c r="A59" s="74" t="s">
        <v>62</v>
      </c>
      <c r="B59" s="74">
        <v>22850</v>
      </c>
      <c r="C59" s="74">
        <v>22346</v>
      </c>
      <c r="D59" s="74">
        <v>21851</v>
      </c>
      <c r="E59" s="68">
        <v>21434</v>
      </c>
      <c r="F59" s="79">
        <v>34</v>
      </c>
      <c r="G59" s="79">
        <v>38</v>
      </c>
      <c r="H59" s="68">
        <v>34</v>
      </c>
      <c r="I59" s="76">
        <v>9.0870568608599819E-3</v>
      </c>
      <c r="J59" s="77">
        <v>98055.69127336581</v>
      </c>
      <c r="K59" s="77">
        <v>891.03764213201066</v>
      </c>
      <c r="L59" s="77">
        <v>97610.172452299797</v>
      </c>
      <c r="M59" s="77">
        <v>4031361.5454437691</v>
      </c>
      <c r="N59" s="78">
        <v>41.112978686824881</v>
      </c>
      <c r="O59" s="78"/>
      <c r="P59" s="78"/>
      <c r="Q59" s="78"/>
      <c r="R59" s="78"/>
      <c r="S59" s="68"/>
      <c r="T59" s="67" t="s">
        <v>65</v>
      </c>
    </row>
    <row r="60" spans="1:20">
      <c r="A60" s="74" t="s">
        <v>64</v>
      </c>
      <c r="B60" s="74">
        <v>24903</v>
      </c>
      <c r="C60" s="74">
        <v>24449</v>
      </c>
      <c r="D60" s="74">
        <v>23851</v>
      </c>
      <c r="E60" s="68">
        <v>23192</v>
      </c>
      <c r="F60" s="79">
        <v>71</v>
      </c>
      <c r="G60" s="79">
        <v>77</v>
      </c>
      <c r="H60" s="68">
        <v>63</v>
      </c>
      <c r="I60" s="76">
        <v>1.2944120968828497E-2</v>
      </c>
      <c r="J60" s="77">
        <v>97164.653631233799</v>
      </c>
      <c r="K60" s="77">
        <v>1257.711030497012</v>
      </c>
      <c r="L60" s="77">
        <v>96535.798115985293</v>
      </c>
      <c r="M60" s="77">
        <v>3543310.6831822703</v>
      </c>
      <c r="N60" s="78">
        <v>36.467074710419851</v>
      </c>
      <c r="O60" s="77"/>
      <c r="P60" s="77"/>
      <c r="Q60" s="78"/>
      <c r="R60" s="78"/>
      <c r="S60" s="81" t="s">
        <v>67</v>
      </c>
      <c r="T60" s="94">
        <f>'nový výpočet'!R30</f>
        <v>0.72548897328704942</v>
      </c>
    </row>
    <row r="61" spans="1:20">
      <c r="A61" s="74" t="s">
        <v>66</v>
      </c>
      <c r="B61" s="74">
        <v>23363</v>
      </c>
      <c r="C61" s="74">
        <v>24086</v>
      </c>
      <c r="D61" s="74">
        <v>24613</v>
      </c>
      <c r="E61" s="68">
        <v>24940</v>
      </c>
      <c r="F61" s="79">
        <v>101</v>
      </c>
      <c r="G61" s="79">
        <v>82</v>
      </c>
      <c r="H61" s="68">
        <v>80</v>
      </c>
      <c r="I61" s="76">
        <v>1.8888809755457592E-2</v>
      </c>
      <c r="J61" s="77">
        <v>95906.942600736787</v>
      </c>
      <c r="K61" s="77">
        <v>1811.5679930129118</v>
      </c>
      <c r="L61" s="77">
        <v>95001.158604230324</v>
      </c>
      <c r="M61" s="77">
        <v>3060631.6926023439</v>
      </c>
      <c r="N61" s="78">
        <v>31.912514460437311</v>
      </c>
      <c r="O61" s="77">
        <f>T60*L61*5</f>
        <v>344611.46508431598</v>
      </c>
      <c r="P61" s="77">
        <f>SUM(O61:O$69)</f>
        <v>1488556.1004802948</v>
      </c>
      <c r="Q61" s="78"/>
      <c r="R61" s="78"/>
      <c r="S61" s="82" t="s">
        <v>70</v>
      </c>
      <c r="T61" s="95">
        <f>'nový výpočet'!S30</f>
        <v>0.55700000000000005</v>
      </c>
    </row>
    <row r="62" spans="1:20">
      <c r="A62" s="74" t="s">
        <v>68</v>
      </c>
      <c r="B62" s="74">
        <v>19461</v>
      </c>
      <c r="C62" s="74">
        <v>19779</v>
      </c>
      <c r="D62" s="74">
        <v>20408</v>
      </c>
      <c r="E62" s="68">
        <v>21314</v>
      </c>
      <c r="F62" s="79">
        <v>132</v>
      </c>
      <c r="G62" s="79">
        <v>122</v>
      </c>
      <c r="H62" s="68">
        <v>119</v>
      </c>
      <c r="I62" s="76">
        <v>3.0354578050667859E-2</v>
      </c>
      <c r="J62" s="77">
        <v>94095.374607723876</v>
      </c>
      <c r="K62" s="77">
        <v>2856.2253927369893</v>
      </c>
      <c r="L62" s="77">
        <v>92667.261911355381</v>
      </c>
      <c r="M62" s="77">
        <v>2585625.8995811921</v>
      </c>
      <c r="N62" s="78">
        <v>27.478777892754671</v>
      </c>
      <c r="O62" s="77">
        <f>T60*L62*5</f>
        <v>336145.38350695657</v>
      </c>
      <c r="P62" s="77">
        <f>SUM(O62:O$69)</f>
        <v>1143944.6353959788</v>
      </c>
      <c r="Q62" s="78">
        <f>P62/J62</f>
        <v>12.157288710151725</v>
      </c>
      <c r="R62" s="68" t="s">
        <v>69</v>
      </c>
      <c r="S62" s="75" t="s">
        <v>12</v>
      </c>
      <c r="T62" s="95">
        <f>'nový výpočet'!T30</f>
        <v>0.32783847569526137</v>
      </c>
    </row>
    <row r="63" spans="1:20">
      <c r="A63" s="74" t="s">
        <v>71</v>
      </c>
      <c r="B63" s="74">
        <v>19756</v>
      </c>
      <c r="C63" s="74">
        <v>19525</v>
      </c>
      <c r="D63" s="74">
        <v>19054</v>
      </c>
      <c r="E63" s="68">
        <v>18616</v>
      </c>
      <c r="F63" s="79">
        <v>226</v>
      </c>
      <c r="G63" s="79">
        <v>184</v>
      </c>
      <c r="H63" s="68">
        <v>188</v>
      </c>
      <c r="I63" s="76">
        <v>4.9532140006829685E-2</v>
      </c>
      <c r="J63" s="77">
        <v>91239.149214986886</v>
      </c>
      <c r="K63" s="77">
        <v>4519.2703130207519</v>
      </c>
      <c r="L63" s="77">
        <v>88979.514058476518</v>
      </c>
      <c r="M63" s="77">
        <v>2122289.5900244154</v>
      </c>
      <c r="N63" s="78">
        <v>23.260734106843351</v>
      </c>
      <c r="O63" s="77">
        <f>T61*L63*5</f>
        <v>247807.94665285712</v>
      </c>
      <c r="P63" s="77">
        <f>SUM(O63:O$69)</f>
        <v>807799.2518890223</v>
      </c>
      <c r="Q63" s="78">
        <f>P63/J63</f>
        <v>8.8536473524715174</v>
      </c>
      <c r="R63" s="84">
        <f>(AVERAGE(Q62:Q63)/AVERAGE(N62:N63))</f>
        <v>0.41409416911202657</v>
      </c>
      <c r="S63" s="75" t="s">
        <v>13</v>
      </c>
      <c r="T63" s="95">
        <f>'nový výpočet'!U30</f>
        <v>0.19295882611524681</v>
      </c>
    </row>
    <row r="64" spans="1:20">
      <c r="A64" s="74" t="s">
        <v>72</v>
      </c>
      <c r="B64" s="74">
        <v>19242</v>
      </c>
      <c r="C64" s="74">
        <v>18849</v>
      </c>
      <c r="D64" s="74">
        <v>18786</v>
      </c>
      <c r="E64" s="68">
        <v>18904</v>
      </c>
      <c r="F64" s="79">
        <v>330</v>
      </c>
      <c r="G64" s="79">
        <v>292</v>
      </c>
      <c r="H64" s="68">
        <v>283</v>
      </c>
      <c r="I64" s="76">
        <v>7.8032622282166481E-2</v>
      </c>
      <c r="J64" s="77">
        <v>86719.878901966134</v>
      </c>
      <c r="K64" s="77">
        <v>6766.9795547123358</v>
      </c>
      <c r="L64" s="77">
        <v>83336.389124609967</v>
      </c>
      <c r="M64" s="77">
        <v>1677392.0197320329</v>
      </c>
      <c r="N64" s="78">
        <v>19.342647164305514</v>
      </c>
      <c r="O64" s="77">
        <f>T61*L64*5</f>
        <v>232091.8437120388</v>
      </c>
      <c r="P64" s="77">
        <f>SUM(O64:O$69)</f>
        <v>559991.30523616506</v>
      </c>
      <c r="Q64" s="78">
        <f t="shared" ref="Q64:Q69" si="2">P64/J64</f>
        <v>6.4574733305291643</v>
      </c>
      <c r="R64" s="78"/>
      <c r="S64" s="75" t="s">
        <v>14</v>
      </c>
      <c r="T64" s="95">
        <f>'nový výpočet'!V30</f>
        <v>2.5000000000000001E-2</v>
      </c>
    </row>
    <row r="65" spans="1:19">
      <c r="A65" s="74" t="s">
        <v>73</v>
      </c>
      <c r="B65" s="74">
        <v>17968</v>
      </c>
      <c r="C65" s="74">
        <v>18054</v>
      </c>
      <c r="D65" s="74">
        <v>18077</v>
      </c>
      <c r="E65" s="68">
        <v>17863</v>
      </c>
      <c r="F65" s="79">
        <v>497</v>
      </c>
      <c r="G65" s="79">
        <v>448</v>
      </c>
      <c r="H65" s="68">
        <v>440</v>
      </c>
      <c r="I65" s="76">
        <v>0.11826332910612736</v>
      </c>
      <c r="J65" s="77">
        <v>79952.899347253799</v>
      </c>
      <c r="K65" s="77">
        <v>9455.4960484933545</v>
      </c>
      <c r="L65" s="77">
        <v>75225.151323007129</v>
      </c>
      <c r="M65" s="77">
        <v>1260710.0741089832</v>
      </c>
      <c r="N65" s="78">
        <v>15.768159558960205</v>
      </c>
      <c r="O65" s="77">
        <f>T62*L65*5</f>
        <v>123308.49471840016</v>
      </c>
      <c r="P65" s="77">
        <f>SUM(O65:O$69)</f>
        <v>327899.46152412635</v>
      </c>
      <c r="Q65" s="78">
        <f t="shared" si="2"/>
        <v>4.1011578592038758</v>
      </c>
      <c r="R65" s="78"/>
      <c r="S65" s="68"/>
    </row>
    <row r="66" spans="1:19">
      <c r="A66" s="74" t="s">
        <v>74</v>
      </c>
      <c r="B66" s="74">
        <v>12961</v>
      </c>
      <c r="C66" s="74">
        <v>13618</v>
      </c>
      <c r="D66" s="74">
        <v>14137</v>
      </c>
      <c r="E66" s="68">
        <v>14831</v>
      </c>
      <c r="F66" s="79">
        <v>555</v>
      </c>
      <c r="G66" s="79">
        <v>535</v>
      </c>
      <c r="H66" s="68">
        <v>512</v>
      </c>
      <c r="I66" s="76">
        <v>0.17692693808273804</v>
      </c>
      <c r="J66" s="77">
        <v>70497.403298760444</v>
      </c>
      <c r="K66" s="77">
        <v>12472.889708433606</v>
      </c>
      <c r="L66" s="77">
        <v>64260.958444543641</v>
      </c>
      <c r="M66" s="77">
        <v>884584.31749394746</v>
      </c>
      <c r="N66" s="78">
        <v>12.547757450656357</v>
      </c>
      <c r="O66" s="77">
        <f>T62*L66*5</f>
        <v>105336.0733158786</v>
      </c>
      <c r="P66" s="77">
        <f>SUM(O66:O$69)</f>
        <v>204590.96680572614</v>
      </c>
      <c r="Q66" s="78">
        <f t="shared" si="2"/>
        <v>2.902106421405219</v>
      </c>
      <c r="R66" s="78"/>
      <c r="S66" s="68"/>
    </row>
    <row r="67" spans="1:19">
      <c r="A67" s="74" t="s">
        <v>75</v>
      </c>
      <c r="B67" s="74">
        <v>7385</v>
      </c>
      <c r="C67" s="74">
        <v>7797</v>
      </c>
      <c r="D67" s="74">
        <v>8323</v>
      </c>
      <c r="E67" s="68">
        <v>8741</v>
      </c>
      <c r="F67" s="79">
        <v>509</v>
      </c>
      <c r="G67" s="79">
        <v>484</v>
      </c>
      <c r="H67" s="68">
        <v>488</v>
      </c>
      <c r="I67" s="76">
        <v>0.26062844976403465</v>
      </c>
      <c r="J67" s="77">
        <v>58024.513590326838</v>
      </c>
      <c r="K67" s="77">
        <v>15122.839025359048</v>
      </c>
      <c r="L67" s="77">
        <v>50463.094077647314</v>
      </c>
      <c r="M67" s="77">
        <v>563279.52527122921</v>
      </c>
      <c r="N67" s="78">
        <v>9.7076130486535011</v>
      </c>
      <c r="O67" s="77">
        <f>T63*L67*5</f>
        <v>48686.496976830451</v>
      </c>
      <c r="P67" s="77">
        <f>SUM(O67:O$69)</f>
        <v>99254.893489847571</v>
      </c>
      <c r="Q67" s="78">
        <f t="shared" si="2"/>
        <v>1.7105682986094721</v>
      </c>
      <c r="R67" s="78"/>
      <c r="S67" s="78"/>
    </row>
    <row r="68" spans="1:19">
      <c r="A68" s="74" t="s">
        <v>76</v>
      </c>
      <c r="B68" s="74">
        <v>4388</v>
      </c>
      <c r="C68" s="74">
        <v>4470</v>
      </c>
      <c r="D68" s="74">
        <v>4649</v>
      </c>
      <c r="E68" s="68">
        <v>4833</v>
      </c>
      <c r="F68" s="79">
        <v>483</v>
      </c>
      <c r="G68" s="79">
        <v>442</v>
      </c>
      <c r="H68" s="68">
        <v>427</v>
      </c>
      <c r="I68" s="76">
        <v>0.39510213624010054</v>
      </c>
      <c r="J68" s="77">
        <v>42901.674564967791</v>
      </c>
      <c r="K68" s="77">
        <v>16950.543268896363</v>
      </c>
      <c r="L68" s="77">
        <v>34426.402930519609</v>
      </c>
      <c r="M68" s="77">
        <v>310964.0548829927</v>
      </c>
      <c r="N68" s="78">
        <v>7.2482964368229235</v>
      </c>
      <c r="O68" s="77">
        <f>T63*L68*5</f>
        <v>33214.391484217784</v>
      </c>
      <c r="P68" s="77">
        <f>SUM(O68:O$69)</f>
        <v>50568.396513017113</v>
      </c>
      <c r="Q68" s="78">
        <f t="shared" si="2"/>
        <v>1.1787044917428406</v>
      </c>
      <c r="R68" s="78"/>
      <c r="S68" s="78"/>
    </row>
    <row r="69" spans="1:19">
      <c r="A69" s="74" t="s">
        <v>14</v>
      </c>
      <c r="B69" s="74">
        <v>2740</v>
      </c>
      <c r="C69" s="74">
        <v>2768</v>
      </c>
      <c r="D69" s="74">
        <v>2878</v>
      </c>
      <c r="E69" s="68">
        <v>3023</v>
      </c>
      <c r="F69" s="74">
        <v>556</v>
      </c>
      <c r="G69" s="74">
        <v>510</v>
      </c>
      <c r="H69" s="68">
        <v>528</v>
      </c>
      <c r="I69" s="76">
        <v>0.63696303696303702</v>
      </c>
      <c r="J69" s="77">
        <v>25951.131296071428</v>
      </c>
      <c r="K69" s="77">
        <v>25951.131296071428</v>
      </c>
      <c r="L69" s="77">
        <v>138832.04023039466</v>
      </c>
      <c r="M69" s="77">
        <v>138832.04023039466</v>
      </c>
      <c r="N69" s="78">
        <v>5.3497490589711418</v>
      </c>
      <c r="O69" s="77">
        <f>T64*L69*5</f>
        <v>17354.005028799333</v>
      </c>
      <c r="P69" s="77">
        <f>SUM(O69:O$69)</f>
        <v>17354.005028799333</v>
      </c>
      <c r="Q69" s="78">
        <f t="shared" si="2"/>
        <v>0.66871863237139273</v>
      </c>
      <c r="R69" s="78"/>
    </row>
    <row r="70" spans="1:19">
      <c r="A70" s="67"/>
      <c r="B70" s="85"/>
    </row>
    <row r="71" spans="1:19">
      <c r="S71" s="86"/>
    </row>
    <row r="72" spans="1:19">
      <c r="B72" s="149" t="s">
        <v>42</v>
      </c>
      <c r="C72" s="150"/>
      <c r="D72" s="150"/>
      <c r="E72" s="151"/>
      <c r="F72" s="149" t="s">
        <v>43</v>
      </c>
      <c r="G72" s="150"/>
      <c r="H72" s="151"/>
      <c r="I72" s="152" t="s">
        <v>44</v>
      </c>
      <c r="J72" s="153"/>
      <c r="K72" s="153"/>
      <c r="L72" s="153"/>
      <c r="M72" s="153"/>
      <c r="N72" s="154"/>
      <c r="O72" s="86"/>
      <c r="P72" s="86"/>
      <c r="Q72" s="86"/>
      <c r="R72" s="86"/>
      <c r="S72" s="88"/>
    </row>
    <row r="73" spans="1:19">
      <c r="A73" s="74" t="s">
        <v>25</v>
      </c>
      <c r="B73" s="69">
        <v>2021</v>
      </c>
      <c r="C73" s="69">
        <v>2022</v>
      </c>
      <c r="D73" s="69">
        <v>2023</v>
      </c>
      <c r="E73" s="69">
        <v>2024</v>
      </c>
      <c r="F73" s="69">
        <v>2022</v>
      </c>
      <c r="G73" s="69">
        <v>2023</v>
      </c>
      <c r="H73" s="69">
        <v>2024</v>
      </c>
      <c r="I73" s="70" t="s">
        <v>46</v>
      </c>
      <c r="J73" s="71" t="s">
        <v>47</v>
      </c>
      <c r="K73" s="71" t="s">
        <v>48</v>
      </c>
      <c r="L73" s="71" t="s">
        <v>49</v>
      </c>
      <c r="M73" s="71" t="s">
        <v>50</v>
      </c>
      <c r="N73" s="72" t="s">
        <v>51</v>
      </c>
      <c r="O73" s="88"/>
      <c r="P73" s="88"/>
      <c r="Q73" s="88"/>
      <c r="R73" s="88"/>
      <c r="S73" s="78"/>
    </row>
    <row r="74" spans="1:19">
      <c r="A74" s="74" t="s">
        <v>54</v>
      </c>
      <c r="B74" s="74">
        <v>3085</v>
      </c>
      <c r="C74" s="89">
        <v>2929</v>
      </c>
      <c r="D74" s="74">
        <v>2651</v>
      </c>
      <c r="E74" s="68">
        <v>2539</v>
      </c>
      <c r="F74" s="74">
        <v>17</v>
      </c>
      <c r="G74" s="74">
        <v>10</v>
      </c>
      <c r="H74" s="68">
        <v>14</v>
      </c>
      <c r="I74" s="76">
        <v>5.0498829905160731E-3</v>
      </c>
      <c r="J74" s="77">
        <v>100000</v>
      </c>
      <c r="K74" s="77">
        <v>504.98829905160528</v>
      </c>
      <c r="L74" s="77">
        <v>99545.510530853557</v>
      </c>
      <c r="M74" s="77">
        <v>7409897.9305103887</v>
      </c>
      <c r="N74" s="78">
        <v>74.098979305103882</v>
      </c>
      <c r="O74" s="78"/>
      <c r="P74" s="78"/>
      <c r="Q74" s="78"/>
      <c r="R74" s="78"/>
      <c r="S74" s="78"/>
    </row>
    <row r="75" spans="1:19">
      <c r="A75" s="74" t="s">
        <v>55</v>
      </c>
      <c r="B75" s="74">
        <v>12756</v>
      </c>
      <c r="C75" s="89">
        <v>12564</v>
      </c>
      <c r="D75" s="74">
        <v>12367</v>
      </c>
      <c r="E75" s="68">
        <v>11898</v>
      </c>
      <c r="F75" s="74">
        <v>0</v>
      </c>
      <c r="G75" s="74">
        <v>2</v>
      </c>
      <c r="H75" s="68">
        <v>1</v>
      </c>
      <c r="I75" s="76">
        <v>3.22026620867325E-4</v>
      </c>
      <c r="J75" s="77">
        <v>99495.011700948395</v>
      </c>
      <c r="K75" s="77">
        <v>32.040042411215836</v>
      </c>
      <c r="L75" s="77">
        <v>99478.991679742787</v>
      </c>
      <c r="M75" s="77">
        <v>7310352.419979535</v>
      </c>
      <c r="N75" s="78">
        <v>73.474562141388759</v>
      </c>
      <c r="O75" s="78"/>
      <c r="P75" s="78"/>
      <c r="Q75" s="78"/>
      <c r="R75" s="78"/>
      <c r="S75" s="78"/>
    </row>
    <row r="76" spans="1:19">
      <c r="A76" s="74" t="s">
        <v>56</v>
      </c>
      <c r="B76" s="74">
        <v>16084</v>
      </c>
      <c r="C76" s="89">
        <v>16237</v>
      </c>
      <c r="D76" s="74">
        <v>16286</v>
      </c>
      <c r="E76" s="68">
        <v>16282</v>
      </c>
      <c r="F76" s="79">
        <v>1</v>
      </c>
      <c r="G76" s="90" t="s">
        <v>54</v>
      </c>
      <c r="H76" s="68">
        <v>0</v>
      </c>
      <c r="I76" s="76">
        <v>1.0265148793331759E-4</v>
      </c>
      <c r="J76" s="77">
        <v>99462.971658537179</v>
      </c>
      <c r="K76" s="77">
        <v>10.210022035011207</v>
      </c>
      <c r="L76" s="77">
        <v>99457.866647519666</v>
      </c>
      <c r="M76" s="77">
        <v>6912436.4532605642</v>
      </c>
      <c r="N76" s="78">
        <v>69.497586267494668</v>
      </c>
      <c r="O76" s="78"/>
      <c r="P76" s="78"/>
      <c r="Q76" s="78"/>
      <c r="R76" s="78"/>
      <c r="S76" s="78"/>
    </row>
    <row r="77" spans="1:19">
      <c r="A77" s="74" t="s">
        <v>57</v>
      </c>
      <c r="B77" s="74">
        <v>16269</v>
      </c>
      <c r="C77" s="89">
        <v>16483</v>
      </c>
      <c r="D77" s="74">
        <v>16382</v>
      </c>
      <c r="E77" s="68">
        <v>16213</v>
      </c>
      <c r="F77" s="79">
        <v>2</v>
      </c>
      <c r="G77" s="90" t="s">
        <v>54</v>
      </c>
      <c r="H77" s="68">
        <v>1</v>
      </c>
      <c r="I77" s="76">
        <v>6.1023123246013104E-4</v>
      </c>
      <c r="J77" s="77">
        <v>99452.761636502168</v>
      </c>
      <c r="K77" s="77">
        <v>60.689181305016973</v>
      </c>
      <c r="L77" s="77">
        <v>99422.417045849666</v>
      </c>
      <c r="M77" s="77">
        <v>6415147.1200229656</v>
      </c>
      <c r="N77" s="78">
        <v>64.504464375460969</v>
      </c>
      <c r="O77" s="78"/>
      <c r="P77" s="78"/>
      <c r="Q77" s="78"/>
      <c r="R77" s="78"/>
      <c r="S77" s="78"/>
    </row>
    <row r="78" spans="1:19">
      <c r="A78" s="74" t="s">
        <v>58</v>
      </c>
      <c r="B78" s="74">
        <v>15225</v>
      </c>
      <c r="C78" s="89">
        <v>15266</v>
      </c>
      <c r="D78" s="74">
        <v>15618</v>
      </c>
      <c r="E78" s="68">
        <v>15994</v>
      </c>
      <c r="F78" s="79">
        <v>5</v>
      </c>
      <c r="G78" s="79">
        <v>12</v>
      </c>
      <c r="H78" s="68">
        <v>5</v>
      </c>
      <c r="I78" s="76">
        <v>2.0849453770565335E-3</v>
      </c>
      <c r="J78" s="77">
        <v>99392.072455197151</v>
      </c>
      <c r="K78" s="77">
        <v>207.22704198153224</v>
      </c>
      <c r="L78" s="77">
        <v>99288.458934206385</v>
      </c>
      <c r="M78" s="77">
        <v>5918035.0347937169</v>
      </c>
      <c r="N78" s="78">
        <v>59.542324539629483</v>
      </c>
      <c r="O78" s="78"/>
      <c r="P78" s="78"/>
      <c r="Q78" s="78"/>
      <c r="R78" s="78"/>
      <c r="S78" s="78"/>
    </row>
    <row r="79" spans="1:19">
      <c r="A79" s="74" t="s">
        <v>59</v>
      </c>
      <c r="B79" s="74">
        <v>16546</v>
      </c>
      <c r="C79" s="89">
        <v>15986</v>
      </c>
      <c r="D79" s="74">
        <v>15494</v>
      </c>
      <c r="E79" s="68">
        <v>15194</v>
      </c>
      <c r="F79" s="79">
        <v>10</v>
      </c>
      <c r="G79" s="79">
        <v>8</v>
      </c>
      <c r="H79" s="68">
        <v>16</v>
      </c>
      <c r="I79" s="76">
        <v>3.752461905398951E-3</v>
      </c>
      <c r="J79" s="77">
        <v>99184.845413215618</v>
      </c>
      <c r="K79" s="77">
        <v>372.18735400597507</v>
      </c>
      <c r="L79" s="77">
        <v>98998.751736212638</v>
      </c>
      <c r="M79" s="77">
        <v>5421592.7401226852</v>
      </c>
      <c r="N79" s="78">
        <v>54.661503151370539</v>
      </c>
      <c r="O79" s="78"/>
      <c r="P79" s="78"/>
      <c r="Q79" s="78"/>
      <c r="R79" s="78"/>
      <c r="S79" s="78"/>
    </row>
    <row r="80" spans="1:19">
      <c r="A80" s="74" t="s">
        <v>60</v>
      </c>
      <c r="B80" s="74">
        <v>20147</v>
      </c>
      <c r="C80" s="89">
        <v>19147</v>
      </c>
      <c r="D80" s="74">
        <v>18142</v>
      </c>
      <c r="E80" s="68">
        <v>17562</v>
      </c>
      <c r="F80" s="79">
        <v>24</v>
      </c>
      <c r="G80" s="79">
        <v>15</v>
      </c>
      <c r="H80" s="68">
        <v>18</v>
      </c>
      <c r="I80" s="76">
        <v>4.6241575432934504E-3</v>
      </c>
      <c r="J80" s="77">
        <v>98812.658059209643</v>
      </c>
      <c r="K80" s="77">
        <v>456.92529813737201</v>
      </c>
      <c r="L80" s="77">
        <v>98584.195410140965</v>
      </c>
      <c r="M80" s="77">
        <v>4926598.9814416217</v>
      </c>
      <c r="N80" s="78">
        <v>49.857974455960374</v>
      </c>
      <c r="O80" s="78"/>
      <c r="P80" s="78"/>
      <c r="Q80" s="78"/>
      <c r="R80" s="78"/>
      <c r="S80" s="78"/>
    </row>
    <row r="81" spans="1:20">
      <c r="A81" s="74" t="s">
        <v>61</v>
      </c>
      <c r="B81" s="74">
        <v>24238</v>
      </c>
      <c r="C81" s="89">
        <v>23645</v>
      </c>
      <c r="D81" s="74">
        <v>22816</v>
      </c>
      <c r="E81" s="68">
        <v>21859</v>
      </c>
      <c r="F81" s="79">
        <v>27</v>
      </c>
      <c r="G81" s="79">
        <v>26</v>
      </c>
      <c r="H81" s="68">
        <v>25</v>
      </c>
      <c r="I81" s="76">
        <v>6.3049681387702715E-3</v>
      </c>
      <c r="J81" s="77">
        <v>98355.732761072271</v>
      </c>
      <c r="K81" s="77">
        <v>620.12976132395852</v>
      </c>
      <c r="L81" s="77">
        <v>98045.667880410299</v>
      </c>
      <c r="M81" s="77">
        <v>4433678.0043909168</v>
      </c>
      <c r="N81" s="78">
        <v>45.07798254283049</v>
      </c>
      <c r="O81" s="78"/>
      <c r="P81" s="78"/>
      <c r="Q81" s="78"/>
      <c r="R81" s="78"/>
      <c r="S81" s="78"/>
    </row>
    <row r="82" spans="1:20" ht="13.5">
      <c r="A82" s="74" t="s">
        <v>62</v>
      </c>
      <c r="B82" s="74">
        <v>27146</v>
      </c>
      <c r="C82" s="89">
        <v>26396</v>
      </c>
      <c r="D82" s="74">
        <v>25871</v>
      </c>
      <c r="E82" s="68">
        <v>25113</v>
      </c>
      <c r="F82" s="79">
        <v>58</v>
      </c>
      <c r="G82" s="79">
        <v>52</v>
      </c>
      <c r="H82" s="68">
        <v>47</v>
      </c>
      <c r="I82" s="76">
        <v>9.3558852316165293E-3</v>
      </c>
      <c r="J82" s="77">
        <v>97735.602999748313</v>
      </c>
      <c r="K82" s="77">
        <v>914.40308470847958</v>
      </c>
      <c r="L82" s="77">
        <v>97278.401457394066</v>
      </c>
      <c r="M82" s="77">
        <v>3943449.6649888656</v>
      </c>
      <c r="N82" s="78">
        <v>40.348138692089726</v>
      </c>
      <c r="O82" s="78"/>
      <c r="P82" s="78"/>
      <c r="Q82" s="78"/>
      <c r="R82" s="78"/>
      <c r="S82" s="68"/>
      <c r="T82" s="67" t="s">
        <v>65</v>
      </c>
    </row>
    <row r="83" spans="1:20">
      <c r="A83" s="74" t="s">
        <v>64</v>
      </c>
      <c r="B83" s="74">
        <v>29161</v>
      </c>
      <c r="C83" s="89">
        <v>28511</v>
      </c>
      <c r="D83" s="74">
        <v>28055</v>
      </c>
      <c r="E83" s="68">
        <v>27571</v>
      </c>
      <c r="F83" s="79">
        <v>76</v>
      </c>
      <c r="G83" s="79">
        <v>86</v>
      </c>
      <c r="H83" s="68">
        <v>66</v>
      </c>
      <c r="I83" s="76">
        <v>1.3179573713907045E-2</v>
      </c>
      <c r="J83" s="77">
        <v>96821.199915039833</v>
      </c>
      <c r="K83" s="77">
        <v>1276.0621413492045</v>
      </c>
      <c r="L83" s="77">
        <v>96183.168844365224</v>
      </c>
      <c r="M83" s="77">
        <v>3457057.6577018951</v>
      </c>
      <c r="N83" s="78">
        <v>35.705585767739379</v>
      </c>
      <c r="O83" s="77"/>
      <c r="P83" s="77"/>
      <c r="Q83" s="78"/>
      <c r="R83" s="78"/>
      <c r="S83" s="81" t="s">
        <v>67</v>
      </c>
      <c r="T83" s="94">
        <f>'nový výpočet'!R31</f>
        <v>0.76738064924278304</v>
      </c>
    </row>
    <row r="84" spans="1:20">
      <c r="A84" s="74" t="s">
        <v>66</v>
      </c>
      <c r="B84" s="74">
        <v>28626</v>
      </c>
      <c r="C84" s="89">
        <v>29379</v>
      </c>
      <c r="D84" s="74">
        <v>29531</v>
      </c>
      <c r="E84" s="68">
        <v>29283</v>
      </c>
      <c r="F84" s="79">
        <v>109</v>
      </c>
      <c r="G84" s="79">
        <v>119</v>
      </c>
      <c r="H84" s="68">
        <v>112</v>
      </c>
      <c r="I84" s="76">
        <v>1.9556697744573359E-2</v>
      </c>
      <c r="J84" s="77">
        <v>95545.137773690629</v>
      </c>
      <c r="K84" s="77">
        <v>1868.5473804036883</v>
      </c>
      <c r="L84" s="77">
        <v>94610.864083488792</v>
      </c>
      <c r="M84" s="77">
        <v>2976141.8134800689</v>
      </c>
      <c r="N84" s="78">
        <v>31.149066115006235</v>
      </c>
      <c r="O84" s="77">
        <f>T83*L84*5</f>
        <v>363012.73152904166</v>
      </c>
      <c r="P84" s="77">
        <f>SUM(O84:O$92)</f>
        <v>1709752.7437729216</v>
      </c>
      <c r="Q84" s="78"/>
      <c r="R84" s="78"/>
      <c r="S84" s="82" t="s">
        <v>70</v>
      </c>
      <c r="T84" s="95">
        <f>'nový výpočet'!S31</f>
        <v>0.61699999999999999</v>
      </c>
    </row>
    <row r="85" spans="1:20">
      <c r="A85" s="74" t="s">
        <v>68</v>
      </c>
      <c r="B85" s="74">
        <v>23246</v>
      </c>
      <c r="C85" s="89">
        <v>23938</v>
      </c>
      <c r="D85" s="74">
        <v>25068</v>
      </c>
      <c r="E85" s="68">
        <v>26202</v>
      </c>
      <c r="F85" s="79">
        <v>173</v>
      </c>
      <c r="G85" s="79">
        <v>157</v>
      </c>
      <c r="H85" s="68">
        <v>166</v>
      </c>
      <c r="I85" s="76">
        <v>3.298573721088631E-2</v>
      </c>
      <c r="J85" s="77">
        <v>93676.590393286941</v>
      </c>
      <c r="K85" s="77">
        <v>3089.9913935247896</v>
      </c>
      <c r="L85" s="77">
        <v>92131.594696524553</v>
      </c>
      <c r="M85" s="77">
        <v>2503087.4930626252</v>
      </c>
      <c r="N85" s="78">
        <v>26.720523052277976</v>
      </c>
      <c r="O85" s="77">
        <f>T83*L85*5</f>
        <v>353500.01476995985</v>
      </c>
      <c r="P85" s="77">
        <f>SUM(O85:O$92)</f>
        <v>1346740.0122438797</v>
      </c>
      <c r="Q85" s="78">
        <f>P85/J85</f>
        <v>14.37648409906676</v>
      </c>
      <c r="R85" s="68" t="s">
        <v>69</v>
      </c>
      <c r="S85" s="75" t="s">
        <v>12</v>
      </c>
      <c r="T85" s="95">
        <f>'nový výpočet'!T31</f>
        <v>0.46790674260144788</v>
      </c>
    </row>
    <row r="86" spans="1:20">
      <c r="A86" s="74" t="s">
        <v>71</v>
      </c>
      <c r="B86" s="74">
        <v>23117</v>
      </c>
      <c r="C86" s="89">
        <v>22819</v>
      </c>
      <c r="D86" s="74">
        <v>22512</v>
      </c>
      <c r="E86" s="68">
        <v>22246</v>
      </c>
      <c r="F86" s="79">
        <v>283</v>
      </c>
      <c r="G86" s="79">
        <v>228</v>
      </c>
      <c r="H86" s="68">
        <v>266</v>
      </c>
      <c r="I86" s="76">
        <v>5.5632357244276093E-2</v>
      </c>
      <c r="J86" s="77">
        <v>90586.598999762151</v>
      </c>
      <c r="K86" s="77">
        <v>5039.5460370987421</v>
      </c>
      <c r="L86" s="77">
        <v>88066.82598121278</v>
      </c>
      <c r="M86" s="77">
        <v>2042429.5195800024</v>
      </c>
      <c r="N86" s="78">
        <v>22.546707152405236</v>
      </c>
      <c r="O86" s="77">
        <f>T84*L86*5</f>
        <v>271686.15815204143</v>
      </c>
      <c r="P86" s="77">
        <f>SUM(O86:O$92)</f>
        <v>993239.99747392011</v>
      </c>
      <c r="Q86" s="78">
        <f>P86/J86</f>
        <v>10.964535686746867</v>
      </c>
      <c r="R86" s="84">
        <f>(AVERAGE(Q85:Q86)/AVERAGE(N85:N86))</f>
        <v>0.51435852351620082</v>
      </c>
      <c r="S86" s="75" t="s">
        <v>13</v>
      </c>
      <c r="T86" s="95">
        <f>'nový výpočet'!U31</f>
        <v>0.35484071275834295</v>
      </c>
    </row>
    <row r="87" spans="1:20">
      <c r="A87" s="74" t="s">
        <v>72</v>
      </c>
      <c r="B87" s="74">
        <v>22343</v>
      </c>
      <c r="C87" s="89">
        <v>21958</v>
      </c>
      <c r="D87" s="74">
        <v>21669</v>
      </c>
      <c r="E87" s="68">
        <v>21825</v>
      </c>
      <c r="F87" s="79">
        <v>445</v>
      </c>
      <c r="G87" s="79">
        <v>366</v>
      </c>
      <c r="H87" s="68">
        <v>406</v>
      </c>
      <c r="I87" s="76">
        <v>8.8273197447277379E-2</v>
      </c>
      <c r="J87" s="77">
        <v>85547.052962663409</v>
      </c>
      <c r="K87" s="77">
        <v>7551.5118972058845</v>
      </c>
      <c r="L87" s="77">
        <v>81771.297014060459</v>
      </c>
      <c r="M87" s="77">
        <v>1602095.3896739385</v>
      </c>
      <c r="N87" s="78">
        <v>18.727651440817784</v>
      </c>
      <c r="O87" s="77">
        <f>T84*L87*5</f>
        <v>252264.45128837653</v>
      </c>
      <c r="P87" s="77">
        <f>SUM(O87:O$92)</f>
        <v>721553.83932187874</v>
      </c>
      <c r="Q87" s="78">
        <f t="shared" ref="Q87:Q92" si="3">P87/J87</f>
        <v>8.4345844109533186</v>
      </c>
      <c r="R87" s="78"/>
      <c r="S87" s="75" t="s">
        <v>14</v>
      </c>
      <c r="T87" s="95">
        <f>'nový výpočet'!V31</f>
        <v>2.5000000000000001E-2</v>
      </c>
    </row>
    <row r="88" spans="1:20">
      <c r="A88" s="74" t="s">
        <v>73</v>
      </c>
      <c r="B88" s="74">
        <v>20541</v>
      </c>
      <c r="C88" s="89">
        <v>20501</v>
      </c>
      <c r="D88" s="74">
        <v>20610</v>
      </c>
      <c r="E88" s="68">
        <v>20421</v>
      </c>
      <c r="F88" s="79">
        <v>654</v>
      </c>
      <c r="G88" s="79">
        <v>519</v>
      </c>
      <c r="H88" s="68">
        <v>581</v>
      </c>
      <c r="I88" s="76">
        <v>0.1325129924860407</v>
      </c>
      <c r="J88" s="77">
        <v>77995.541065457524</v>
      </c>
      <c r="K88" s="77">
        <v>10335.422547151655</v>
      </c>
      <c r="L88" s="77">
        <v>72827.829791881697</v>
      </c>
      <c r="M88" s="77">
        <v>1193238.9046036364</v>
      </c>
      <c r="N88" s="78">
        <v>15.298809243495269</v>
      </c>
      <c r="O88" s="77">
        <f>T85*L88*5</f>
        <v>170383.16304326025</v>
      </c>
      <c r="P88" s="77">
        <f>SUM(O88:O$92)</f>
        <v>469289.38803350215</v>
      </c>
      <c r="Q88" s="78">
        <f t="shared" si="3"/>
        <v>6.0168745754280035</v>
      </c>
      <c r="R88" s="78"/>
      <c r="S88" s="68"/>
    </row>
    <row r="89" spans="1:20">
      <c r="A89" s="74" t="s">
        <v>74</v>
      </c>
      <c r="B89" s="74">
        <v>14696</v>
      </c>
      <c r="C89" s="89">
        <v>15495</v>
      </c>
      <c r="D89" s="74">
        <v>16281</v>
      </c>
      <c r="E89" s="68">
        <v>16851</v>
      </c>
      <c r="F89" s="79">
        <v>701</v>
      </c>
      <c r="G89" s="79">
        <v>643</v>
      </c>
      <c r="H89" s="68">
        <v>690</v>
      </c>
      <c r="I89" s="76">
        <v>0.19359500611267827</v>
      </c>
      <c r="J89" s="77">
        <v>67660.11851830587</v>
      </c>
      <c r="K89" s="77">
        <v>13098.661058135964</v>
      </c>
      <c r="L89" s="77">
        <v>61110.787989237884</v>
      </c>
      <c r="M89" s="77">
        <v>829099.75564422796</v>
      </c>
      <c r="N89" s="78">
        <v>12.25389156567779</v>
      </c>
      <c r="O89" s="77">
        <f>T85*L89*5</f>
        <v>142970.74872925991</v>
      </c>
      <c r="P89" s="77">
        <f>SUM(O89:O$92)</f>
        <v>298906.22499024181</v>
      </c>
      <c r="Q89" s="78">
        <f t="shared" si="3"/>
        <v>4.4177608839004749</v>
      </c>
      <c r="R89" s="78"/>
      <c r="S89" s="68"/>
    </row>
    <row r="90" spans="1:20">
      <c r="A90" s="74" t="s">
        <v>75</v>
      </c>
      <c r="B90" s="74">
        <v>7886</v>
      </c>
      <c r="C90" s="89">
        <v>8417</v>
      </c>
      <c r="D90" s="74">
        <v>8991</v>
      </c>
      <c r="E90" s="68">
        <v>9567</v>
      </c>
      <c r="F90" s="79">
        <v>587</v>
      </c>
      <c r="G90" s="79">
        <v>535</v>
      </c>
      <c r="H90" s="68">
        <v>579</v>
      </c>
      <c r="I90" s="76">
        <v>0.27473175874529043</v>
      </c>
      <c r="J90" s="77">
        <v>54561.457460169906</v>
      </c>
      <c r="K90" s="77">
        <v>14989.765167738828</v>
      </c>
      <c r="L90" s="77">
        <v>47066.574876300496</v>
      </c>
      <c r="M90" s="77">
        <v>523545.81569803855</v>
      </c>
      <c r="N90" s="78">
        <v>9.5955247544519722</v>
      </c>
      <c r="O90" s="77">
        <f>T86*L90*5</f>
        <v>83505.684881001929</v>
      </c>
      <c r="P90" s="77">
        <f>SUM(O90:O$92)</f>
        <v>155935.4762609819</v>
      </c>
      <c r="Q90" s="78">
        <f t="shared" si="3"/>
        <v>2.8579785716834167</v>
      </c>
      <c r="R90" s="78"/>
      <c r="S90" s="78"/>
    </row>
    <row r="91" spans="1:20">
      <c r="A91" s="74" t="s">
        <v>76</v>
      </c>
      <c r="B91" s="74">
        <v>4584</v>
      </c>
      <c r="C91" s="89">
        <v>4653</v>
      </c>
      <c r="D91" s="74">
        <v>4912</v>
      </c>
      <c r="E91" s="68">
        <v>5175</v>
      </c>
      <c r="F91" s="79">
        <v>546</v>
      </c>
      <c r="G91" s="79">
        <v>453</v>
      </c>
      <c r="H91" s="68">
        <v>441</v>
      </c>
      <c r="I91" s="76">
        <v>0.39901354983512982</v>
      </c>
      <c r="J91" s="77">
        <v>39571.692292431078</v>
      </c>
      <c r="K91" s="77">
        <v>15789.641414586371</v>
      </c>
      <c r="L91" s="77">
        <v>31676.871585137895</v>
      </c>
      <c r="M91" s="77">
        <v>288212.9413165361</v>
      </c>
      <c r="N91" s="78">
        <v>7.2833109887408813</v>
      </c>
      <c r="O91" s="77">
        <f>T86*L91*5</f>
        <v>56201.218456124159</v>
      </c>
      <c r="P91" s="77">
        <f>SUM(O91:O$92)</f>
        <v>72429.791379979986</v>
      </c>
      <c r="Q91" s="78">
        <f t="shared" si="3"/>
        <v>1.8303435406484678</v>
      </c>
      <c r="R91" s="78"/>
      <c r="S91" s="78"/>
    </row>
    <row r="92" spans="1:20">
      <c r="A92" s="74" t="s">
        <v>14</v>
      </c>
      <c r="B92" s="74">
        <v>2773</v>
      </c>
      <c r="C92" s="89">
        <v>2814</v>
      </c>
      <c r="D92" s="74">
        <v>2888</v>
      </c>
      <c r="E92" s="68">
        <v>3041</v>
      </c>
      <c r="F92" s="74">
        <v>567</v>
      </c>
      <c r="G92" s="74">
        <v>503</v>
      </c>
      <c r="H92" s="68">
        <v>507</v>
      </c>
      <c r="I92" s="76">
        <v>0.62821176751782659</v>
      </c>
      <c r="J92" s="77">
        <v>23782.050877844707</v>
      </c>
      <c r="K92" s="77">
        <v>23782.050877844707</v>
      </c>
      <c r="L92" s="77">
        <v>129828.5833908466</v>
      </c>
      <c r="M92" s="77">
        <v>129828.5833908466</v>
      </c>
      <c r="N92" s="78">
        <v>5.4590995561192139</v>
      </c>
      <c r="O92" s="77">
        <f>T87*L92*5</f>
        <v>16228.572923855827</v>
      </c>
      <c r="P92" s="77">
        <f>SUM(O92:O$92)</f>
        <v>16228.572923855827</v>
      </c>
      <c r="Q92" s="78">
        <f t="shared" si="3"/>
        <v>0.68238744451490185</v>
      </c>
      <c r="R92" s="78"/>
    </row>
    <row r="93" spans="1:20">
      <c r="A93" s="67"/>
      <c r="B93" s="85"/>
    </row>
    <row r="94" spans="1:20">
      <c r="S94" s="86"/>
    </row>
    <row r="95" spans="1:20">
      <c r="B95" s="149" t="s">
        <v>42</v>
      </c>
      <c r="C95" s="150"/>
      <c r="D95" s="150"/>
      <c r="E95" s="151"/>
      <c r="F95" s="149" t="s">
        <v>43</v>
      </c>
      <c r="G95" s="150"/>
      <c r="H95" s="151"/>
      <c r="I95" s="152" t="s">
        <v>44</v>
      </c>
      <c r="J95" s="153"/>
      <c r="K95" s="153"/>
      <c r="L95" s="153"/>
      <c r="M95" s="153"/>
      <c r="N95" s="154"/>
      <c r="O95" s="86"/>
      <c r="P95" s="86"/>
      <c r="Q95" s="86"/>
      <c r="R95" s="86"/>
      <c r="S95" s="88"/>
    </row>
    <row r="96" spans="1:20">
      <c r="A96" s="74" t="s">
        <v>26</v>
      </c>
      <c r="B96" s="69">
        <v>2021</v>
      </c>
      <c r="C96" s="69">
        <v>2022</v>
      </c>
      <c r="D96" s="69">
        <v>2023</v>
      </c>
      <c r="E96" s="69">
        <v>2024</v>
      </c>
      <c r="F96" s="69">
        <v>2022</v>
      </c>
      <c r="G96" s="69">
        <v>2023</v>
      </c>
      <c r="H96" s="69">
        <v>2024</v>
      </c>
      <c r="I96" s="70" t="s">
        <v>46</v>
      </c>
      <c r="J96" s="71" t="s">
        <v>47</v>
      </c>
      <c r="K96" s="71" t="s">
        <v>48</v>
      </c>
      <c r="L96" s="71" t="s">
        <v>49</v>
      </c>
      <c r="M96" s="71" t="s">
        <v>50</v>
      </c>
      <c r="N96" s="72" t="s">
        <v>51</v>
      </c>
      <c r="O96" s="88"/>
      <c r="P96" s="88"/>
      <c r="Q96" s="88"/>
      <c r="R96" s="88"/>
      <c r="S96" s="78"/>
    </row>
    <row r="97" spans="1:20">
      <c r="A97" s="74" t="s">
        <v>54</v>
      </c>
      <c r="B97" s="89">
        <v>3686</v>
      </c>
      <c r="C97" s="89">
        <v>3512</v>
      </c>
      <c r="D97" s="89">
        <v>3211</v>
      </c>
      <c r="E97" s="68">
        <v>2933</v>
      </c>
      <c r="F97" s="74">
        <v>14</v>
      </c>
      <c r="G97" s="74">
        <v>14</v>
      </c>
      <c r="H97" s="74">
        <v>10</v>
      </c>
      <c r="I97" s="76">
        <v>3.935376967688484E-3</v>
      </c>
      <c r="J97" s="77">
        <v>100000</v>
      </c>
      <c r="K97" s="77">
        <v>393.53769676884986</v>
      </c>
      <c r="L97" s="77">
        <v>99645.816072908041</v>
      </c>
      <c r="M97" s="77">
        <v>7452676.8300488777</v>
      </c>
      <c r="N97" s="78">
        <v>74.526768300488783</v>
      </c>
      <c r="O97" s="78"/>
      <c r="P97" s="78"/>
      <c r="Q97" s="78"/>
      <c r="R97" s="78"/>
      <c r="S97" s="78"/>
    </row>
    <row r="98" spans="1:20">
      <c r="A98" s="74" t="s">
        <v>55</v>
      </c>
      <c r="B98" s="89">
        <v>15407</v>
      </c>
      <c r="C98" s="89">
        <v>15291</v>
      </c>
      <c r="D98" s="89">
        <v>14868</v>
      </c>
      <c r="E98" s="68">
        <v>14275</v>
      </c>
      <c r="F98" s="74">
        <v>2</v>
      </c>
      <c r="G98" s="74">
        <v>5</v>
      </c>
      <c r="H98" s="74">
        <v>4</v>
      </c>
      <c r="I98" s="76">
        <v>9.7729998667318179E-4</v>
      </c>
      <c r="J98" s="77">
        <v>99606.46230323115</v>
      </c>
      <c r="K98" s="77">
        <v>97.34539428151038</v>
      </c>
      <c r="L98" s="77">
        <v>99557.789606090402</v>
      </c>
      <c r="M98" s="77">
        <v>7353031.0139759695</v>
      </c>
      <c r="N98" s="78">
        <v>73.820822905959616</v>
      </c>
      <c r="O98" s="78"/>
      <c r="P98" s="78"/>
      <c r="Q98" s="78"/>
      <c r="R98" s="78"/>
      <c r="S98" s="78"/>
    </row>
    <row r="99" spans="1:20">
      <c r="A99" s="74" t="s">
        <v>56</v>
      </c>
      <c r="B99" s="89">
        <v>18944</v>
      </c>
      <c r="C99" s="89">
        <v>18908</v>
      </c>
      <c r="D99" s="89">
        <v>19177</v>
      </c>
      <c r="E99" s="68">
        <v>19378</v>
      </c>
      <c r="F99" s="79">
        <v>1</v>
      </c>
      <c r="G99" s="79">
        <v>2</v>
      </c>
      <c r="H99" s="79">
        <v>0</v>
      </c>
      <c r="I99" s="76">
        <v>1.4178066948218569E-4</v>
      </c>
      <c r="J99" s="77">
        <v>99509.11690894964</v>
      </c>
      <c r="K99" s="77">
        <v>14.108469214930665</v>
      </c>
      <c r="L99" s="77">
        <v>99502.062674342174</v>
      </c>
      <c r="M99" s="77">
        <v>6954799.8555516079</v>
      </c>
      <c r="N99" s="78">
        <v>69.891082059498288</v>
      </c>
      <c r="O99" s="78"/>
      <c r="P99" s="78"/>
      <c r="Q99" s="78"/>
      <c r="R99" s="78"/>
      <c r="S99" s="78"/>
    </row>
    <row r="100" spans="1:20">
      <c r="A100" s="74" t="s">
        <v>57</v>
      </c>
      <c r="B100" s="89">
        <v>18538</v>
      </c>
      <c r="C100" s="89">
        <v>18889</v>
      </c>
      <c r="D100" s="89">
        <v>18883</v>
      </c>
      <c r="E100" s="68">
        <v>18716</v>
      </c>
      <c r="F100" s="79">
        <v>3</v>
      </c>
      <c r="G100" s="79">
        <v>1</v>
      </c>
      <c r="H100" s="79">
        <v>0</v>
      </c>
      <c r="I100" s="76">
        <v>4.1343798592619323E-4</v>
      </c>
      <c r="J100" s="77">
        <v>99495.008439734709</v>
      </c>
      <c r="K100" s="77">
        <v>41.13501589903899</v>
      </c>
      <c r="L100" s="77">
        <v>99474.440931785182</v>
      </c>
      <c r="M100" s="77">
        <v>6457289.5421798974</v>
      </c>
      <c r="N100" s="78">
        <v>64.90063816710115</v>
      </c>
      <c r="O100" s="78"/>
      <c r="P100" s="78"/>
      <c r="Q100" s="78"/>
      <c r="R100" s="78"/>
      <c r="S100" s="78"/>
    </row>
    <row r="101" spans="1:20">
      <c r="A101" s="74" t="s">
        <v>58</v>
      </c>
      <c r="B101" s="89">
        <v>17736</v>
      </c>
      <c r="C101" s="89">
        <v>17787</v>
      </c>
      <c r="D101" s="89">
        <v>17946</v>
      </c>
      <c r="E101" s="68">
        <v>18176</v>
      </c>
      <c r="F101" s="79">
        <v>5</v>
      </c>
      <c r="G101" s="79">
        <v>6</v>
      </c>
      <c r="H101" s="79">
        <v>5</v>
      </c>
      <c r="I101" s="76">
        <v>1.5150670767025321E-3</v>
      </c>
      <c r="J101" s="77">
        <v>99453.87342383567</v>
      </c>
      <c r="K101" s="77">
        <v>150.67928927499452</v>
      </c>
      <c r="L101" s="77">
        <v>99378.533779198173</v>
      </c>
      <c r="M101" s="77">
        <v>5959917.3375209719</v>
      </c>
      <c r="N101" s="78">
        <v>59.926447631878609</v>
      </c>
      <c r="O101" s="78"/>
      <c r="P101" s="78"/>
      <c r="Q101" s="78"/>
      <c r="R101" s="78"/>
      <c r="S101" s="78"/>
    </row>
    <row r="102" spans="1:20">
      <c r="A102" s="74" t="s">
        <v>59</v>
      </c>
      <c r="B102" s="89">
        <v>19464</v>
      </c>
      <c r="C102" s="89">
        <v>18895</v>
      </c>
      <c r="D102" s="89">
        <v>18341</v>
      </c>
      <c r="E102" s="68">
        <v>18030</v>
      </c>
      <c r="F102" s="79">
        <v>13</v>
      </c>
      <c r="G102" s="79">
        <v>12</v>
      </c>
      <c r="H102" s="79">
        <v>10</v>
      </c>
      <c r="I102" s="76">
        <v>3.0118540891152686E-3</v>
      </c>
      <c r="J102" s="77">
        <v>99303.194134560676</v>
      </c>
      <c r="K102" s="77">
        <v>299.0867313163908</v>
      </c>
      <c r="L102" s="77">
        <v>99153.650768902473</v>
      </c>
      <c r="M102" s="77">
        <v>5463024.6686249813</v>
      </c>
      <c r="N102" s="78">
        <v>55.013584570324255</v>
      </c>
      <c r="O102" s="78"/>
      <c r="P102" s="78"/>
      <c r="Q102" s="78"/>
      <c r="R102" s="78"/>
      <c r="S102" s="78"/>
    </row>
    <row r="103" spans="1:20">
      <c r="A103" s="74" t="s">
        <v>60</v>
      </c>
      <c r="B103" s="89">
        <v>23362</v>
      </c>
      <c r="C103" s="89">
        <v>22248</v>
      </c>
      <c r="D103" s="89">
        <v>21086</v>
      </c>
      <c r="E103" s="68">
        <v>20338</v>
      </c>
      <c r="F103" s="79">
        <v>22</v>
      </c>
      <c r="G103" s="79">
        <v>26</v>
      </c>
      <c r="H103" s="79">
        <v>9</v>
      </c>
      <c r="I103" s="76">
        <v>4.3055576319716059E-3</v>
      </c>
      <c r="J103" s="77">
        <v>99004.107403244285</v>
      </c>
      <c r="K103" s="77">
        <v>426.26789022657613</v>
      </c>
      <c r="L103" s="77">
        <v>98790.973458130989</v>
      </c>
      <c r="M103" s="77">
        <v>4967256.4147804687</v>
      </c>
      <c r="N103" s="78">
        <v>50.172225628466158</v>
      </c>
      <c r="O103" s="78"/>
      <c r="P103" s="78"/>
      <c r="Q103" s="78"/>
      <c r="R103" s="78"/>
      <c r="S103" s="78"/>
    </row>
    <row r="104" spans="1:20">
      <c r="A104" s="74" t="s">
        <v>61</v>
      </c>
      <c r="B104" s="89">
        <v>26362</v>
      </c>
      <c r="C104" s="89">
        <v>25951</v>
      </c>
      <c r="D104" s="89">
        <v>25565</v>
      </c>
      <c r="E104" s="68">
        <v>25033</v>
      </c>
      <c r="F104" s="79">
        <v>40</v>
      </c>
      <c r="G104" s="79">
        <v>24</v>
      </c>
      <c r="H104" s="79">
        <v>26</v>
      </c>
      <c r="I104" s="76">
        <v>5.9817074372277533E-3</v>
      </c>
      <c r="J104" s="77">
        <v>98577.839513017709</v>
      </c>
      <c r="K104" s="77">
        <v>589.66379576086183</v>
      </c>
      <c r="L104" s="77">
        <v>98283.007615137278</v>
      </c>
      <c r="M104" s="77">
        <v>4473301.5474898135</v>
      </c>
      <c r="N104" s="78">
        <v>45.378368704247073</v>
      </c>
      <c r="O104" s="78"/>
      <c r="P104" s="78"/>
      <c r="Q104" s="78"/>
      <c r="R104" s="78"/>
      <c r="S104" s="78"/>
    </row>
    <row r="105" spans="1:20" ht="13.5">
      <c r="A105" s="74" t="s">
        <v>62</v>
      </c>
      <c r="B105" s="89">
        <v>27713</v>
      </c>
      <c r="C105" s="89">
        <v>27333</v>
      </c>
      <c r="D105" s="89">
        <v>27090</v>
      </c>
      <c r="E105" s="68">
        <v>26524</v>
      </c>
      <c r="F105" s="79">
        <v>53</v>
      </c>
      <c r="G105" s="79">
        <v>36</v>
      </c>
      <c r="H105" s="79">
        <v>56</v>
      </c>
      <c r="I105" s="76">
        <v>8.6268046498914411E-3</v>
      </c>
      <c r="J105" s="77">
        <v>97988.175717256847</v>
      </c>
      <c r="K105" s="77">
        <v>845.32484991200909</v>
      </c>
      <c r="L105" s="77">
        <v>97565.513292300835</v>
      </c>
      <c r="M105" s="77">
        <v>3981886.5094141271</v>
      </c>
      <c r="N105" s="78">
        <v>40.636398017081063</v>
      </c>
      <c r="O105" s="78"/>
      <c r="P105" s="78"/>
      <c r="Q105" s="78"/>
      <c r="R105" s="78"/>
      <c r="S105" s="68"/>
      <c r="T105" s="67" t="s">
        <v>65</v>
      </c>
    </row>
    <row r="106" spans="1:20">
      <c r="A106" s="74" t="s">
        <v>64</v>
      </c>
      <c r="B106" s="89">
        <v>28857</v>
      </c>
      <c r="C106" s="89">
        <v>28346</v>
      </c>
      <c r="D106" s="89">
        <v>27989</v>
      </c>
      <c r="E106" s="68">
        <v>27559</v>
      </c>
      <c r="F106" s="79">
        <v>70</v>
      </c>
      <c r="G106" s="79">
        <v>69</v>
      </c>
      <c r="H106" s="79">
        <v>75</v>
      </c>
      <c r="I106" s="76">
        <v>1.2241444314477587E-2</v>
      </c>
      <c r="J106" s="77">
        <v>97142.850867344838</v>
      </c>
      <c r="K106" s="77">
        <v>1189.16879944221</v>
      </c>
      <c r="L106" s="77">
        <v>96548.266467623733</v>
      </c>
      <c r="M106" s="77">
        <v>3494058.9429526227</v>
      </c>
      <c r="N106" s="78">
        <v>35.968256148092642</v>
      </c>
      <c r="O106" s="77"/>
      <c r="P106" s="77"/>
      <c r="Q106" s="78"/>
      <c r="R106" s="78"/>
      <c r="S106" s="81" t="s">
        <v>67</v>
      </c>
      <c r="T106" s="94">
        <f>'nový výpočet'!R32</f>
        <v>0.75952612603289871</v>
      </c>
    </row>
    <row r="107" spans="1:20">
      <c r="A107" s="74" t="s">
        <v>66</v>
      </c>
      <c r="B107" s="89">
        <v>27968</v>
      </c>
      <c r="C107" s="89">
        <v>28577</v>
      </c>
      <c r="D107" s="89">
        <v>28902</v>
      </c>
      <c r="E107" s="68">
        <v>29040</v>
      </c>
      <c r="F107" s="79">
        <v>134</v>
      </c>
      <c r="G107" s="79">
        <v>97</v>
      </c>
      <c r="H107" s="79">
        <v>102</v>
      </c>
      <c r="I107" s="76">
        <v>2.0139621907524337E-2</v>
      </c>
      <c r="J107" s="77">
        <v>95953.682067902628</v>
      </c>
      <c r="K107" s="77">
        <v>1932.4708774823666</v>
      </c>
      <c r="L107" s="77">
        <v>94987.446629161452</v>
      </c>
      <c r="M107" s="77">
        <v>3011317.6106145042</v>
      </c>
      <c r="N107" s="78">
        <v>31.383033414846068</v>
      </c>
      <c r="O107" s="77">
        <f>T106*L107*5</f>
        <v>360727.23680001858</v>
      </c>
      <c r="P107" s="77">
        <f>SUM(O107:O$115)</f>
        <v>1193639.5854365225</v>
      </c>
      <c r="Q107" s="78"/>
      <c r="R107" s="78"/>
      <c r="S107" s="82" t="s">
        <v>70</v>
      </c>
      <c r="T107" s="95">
        <f>'nový výpočet'!S32</f>
        <v>0.28899999999999998</v>
      </c>
    </row>
    <row r="108" spans="1:20">
      <c r="A108" s="74" t="s">
        <v>68</v>
      </c>
      <c r="B108" s="89">
        <v>22420</v>
      </c>
      <c r="C108" s="89">
        <v>23201</v>
      </c>
      <c r="D108" s="89">
        <v>24241</v>
      </c>
      <c r="E108" s="68">
        <v>25379</v>
      </c>
      <c r="F108" s="79">
        <v>194</v>
      </c>
      <c r="G108" s="79">
        <v>156</v>
      </c>
      <c r="H108" s="79">
        <v>166</v>
      </c>
      <c r="I108" s="76">
        <v>3.454653188808892E-2</v>
      </c>
      <c r="J108" s="77">
        <v>94021.211190420261</v>
      </c>
      <c r="K108" s="77">
        <v>3248.1067705465975</v>
      </c>
      <c r="L108" s="77">
        <v>92397.15780514697</v>
      </c>
      <c r="M108" s="77">
        <v>2536380.3774686968</v>
      </c>
      <c r="N108" s="78">
        <v>26.976682658679962</v>
      </c>
      <c r="O108" s="77">
        <f>T106*L108*5</f>
        <v>350890.27662096842</v>
      </c>
      <c r="P108" s="77">
        <f>SUM(O108:O$115)</f>
        <v>832912.34863650368</v>
      </c>
      <c r="Q108" s="78">
        <f>P108/J108</f>
        <v>8.8587706762212868</v>
      </c>
      <c r="R108" s="68" t="s">
        <v>69</v>
      </c>
      <c r="S108" s="75" t="s">
        <v>12</v>
      </c>
      <c r="T108" s="95">
        <f>'nový výpočet'!T32</f>
        <v>0.22093772528590006</v>
      </c>
    </row>
    <row r="109" spans="1:20">
      <c r="A109" s="74" t="s">
        <v>71</v>
      </c>
      <c r="B109" s="89">
        <v>22095</v>
      </c>
      <c r="C109" s="89">
        <v>21803</v>
      </c>
      <c r="D109" s="89">
        <v>21304</v>
      </c>
      <c r="E109" s="68">
        <v>20975</v>
      </c>
      <c r="F109" s="79">
        <v>283</v>
      </c>
      <c r="G109" s="79">
        <v>238</v>
      </c>
      <c r="H109" s="79">
        <v>218</v>
      </c>
      <c r="I109" s="76">
        <v>5.6381250815848244E-2</v>
      </c>
      <c r="J109" s="77">
        <v>90773.104419873664</v>
      </c>
      <c r="K109" s="77">
        <v>5117.9011676300725</v>
      </c>
      <c r="L109" s="77">
        <v>88214.153836058627</v>
      </c>
      <c r="M109" s="77">
        <v>2074394.5884429617</v>
      </c>
      <c r="N109" s="78">
        <v>22.852524453144056</v>
      </c>
      <c r="O109" s="77">
        <f>T107*L109*5</f>
        <v>127469.45229310471</v>
      </c>
      <c r="P109" s="77">
        <f>SUM(O109:O$115)</f>
        <v>482022.07201553544</v>
      </c>
      <c r="Q109" s="78">
        <f>P109/J109</f>
        <v>5.3101860412961992</v>
      </c>
      <c r="R109" s="84">
        <f>(AVERAGE(Q108:Q109)/AVERAGE(N108:N109))</f>
        <v>0.28435043499127483</v>
      </c>
      <c r="S109" s="75" t="s">
        <v>13</v>
      </c>
      <c r="T109" s="95">
        <f>'nový výpočet'!U32</f>
        <v>0.16890476973878146</v>
      </c>
    </row>
    <row r="110" spans="1:20">
      <c r="A110" s="74" t="s">
        <v>72</v>
      </c>
      <c r="B110" s="89">
        <v>20999</v>
      </c>
      <c r="C110" s="89">
        <v>20637</v>
      </c>
      <c r="D110" s="89">
        <v>20738</v>
      </c>
      <c r="E110" s="68">
        <v>20847</v>
      </c>
      <c r="F110" s="79">
        <v>415</v>
      </c>
      <c r="G110" s="79">
        <v>387</v>
      </c>
      <c r="H110" s="79">
        <v>328</v>
      </c>
      <c r="I110" s="76">
        <v>8.5718533271724795E-2</v>
      </c>
      <c r="J110" s="77">
        <v>85655.203252243591</v>
      </c>
      <c r="K110" s="77">
        <v>7342.2383898737899</v>
      </c>
      <c r="L110" s="77">
        <v>81984.084057306696</v>
      </c>
      <c r="M110" s="77">
        <v>1633323.8192626685</v>
      </c>
      <c r="N110" s="78">
        <v>19.068588448184979</v>
      </c>
      <c r="O110" s="77">
        <f>T107*L110*5</f>
        <v>118467.00146280817</v>
      </c>
      <c r="P110" s="77">
        <f>SUM(O110:O$115)</f>
        <v>354552.61972243071</v>
      </c>
      <c r="Q110" s="78">
        <f t="shared" ref="Q110:Q115" si="4">P110/J110</f>
        <v>4.1393004308018355</v>
      </c>
      <c r="R110" s="78"/>
      <c r="S110" s="75" t="s">
        <v>14</v>
      </c>
      <c r="T110" s="95">
        <f>'nový výpočet'!V32</f>
        <v>2.5000000000000001E-2</v>
      </c>
    </row>
    <row r="111" spans="1:20">
      <c r="A111" s="74" t="s">
        <v>73</v>
      </c>
      <c r="B111" s="89">
        <v>18691</v>
      </c>
      <c r="C111" s="89">
        <v>18835</v>
      </c>
      <c r="D111" s="89">
        <v>19029</v>
      </c>
      <c r="E111" s="68">
        <v>19092</v>
      </c>
      <c r="F111" s="79">
        <v>578</v>
      </c>
      <c r="G111" s="79">
        <v>468</v>
      </c>
      <c r="H111" s="79">
        <v>477</v>
      </c>
      <c r="I111" s="76">
        <v>0.12696667277452892</v>
      </c>
      <c r="J111" s="77">
        <v>78312.964862369801</v>
      </c>
      <c r="K111" s="77">
        <v>9943.1365836836922</v>
      </c>
      <c r="L111" s="77">
        <v>73341.396570527955</v>
      </c>
      <c r="M111" s="77">
        <v>1223403.3989761351</v>
      </c>
      <c r="N111" s="78">
        <v>15.621977805669738</v>
      </c>
      <c r="O111" s="77">
        <f>T108*L111*5</f>
        <v>81019.406637917797</v>
      </c>
      <c r="P111" s="77">
        <f>SUM(O111:O$115)</f>
        <v>236085.61825962254</v>
      </c>
      <c r="Q111" s="78">
        <f t="shared" si="4"/>
        <v>3.0146428330804285</v>
      </c>
      <c r="R111" s="78"/>
      <c r="S111" s="68"/>
    </row>
    <row r="112" spans="1:20">
      <c r="A112" s="74" t="s">
        <v>74</v>
      </c>
      <c r="B112" s="89">
        <v>13619</v>
      </c>
      <c r="C112" s="89">
        <v>14219</v>
      </c>
      <c r="D112" s="89">
        <v>14593</v>
      </c>
      <c r="E112" s="68">
        <v>15160</v>
      </c>
      <c r="F112" s="79">
        <v>607</v>
      </c>
      <c r="G112" s="79">
        <v>561</v>
      </c>
      <c r="H112" s="79">
        <v>579</v>
      </c>
      <c r="I112" s="76">
        <v>0.17960938222445277</v>
      </c>
      <c r="J112" s="77">
        <v>68369.828278686109</v>
      </c>
      <c r="K112" s="77">
        <v>12279.862619926731</v>
      </c>
      <c r="L112" s="77">
        <v>62229.896968722744</v>
      </c>
      <c r="M112" s="77">
        <v>856696.41612349532</v>
      </c>
      <c r="N112" s="78">
        <v>12.530328621442003</v>
      </c>
      <c r="O112" s="77">
        <f>T108*L112*5</f>
        <v>68744.659405227649</v>
      </c>
      <c r="P112" s="77">
        <f>SUM(O112:O$115)</f>
        <v>155066.21162170474</v>
      </c>
      <c r="Q112" s="78">
        <f t="shared" si="4"/>
        <v>2.2680503304707833</v>
      </c>
      <c r="R112" s="78"/>
      <c r="S112" s="68"/>
    </row>
    <row r="113" spans="1:20">
      <c r="A113" s="74" t="s">
        <v>75</v>
      </c>
      <c r="B113" s="89">
        <v>7156</v>
      </c>
      <c r="C113" s="89">
        <v>7779</v>
      </c>
      <c r="D113" s="89">
        <v>8513</v>
      </c>
      <c r="E113" s="68">
        <v>9139</v>
      </c>
      <c r="F113" s="79">
        <v>467</v>
      </c>
      <c r="G113" s="79">
        <v>479</v>
      </c>
      <c r="H113" s="79">
        <v>484</v>
      </c>
      <c r="I113" s="76">
        <v>0.25475269917921922</v>
      </c>
      <c r="J113" s="77">
        <v>56089.965658759378</v>
      </c>
      <c r="K113" s="77">
        <v>14289.070148438666</v>
      </c>
      <c r="L113" s="77">
        <v>48945.430584540045</v>
      </c>
      <c r="M113" s="77">
        <v>545546.93127988162</v>
      </c>
      <c r="N113" s="78">
        <v>9.7262839239176007</v>
      </c>
      <c r="O113" s="77">
        <f>T109*L113*5</f>
        <v>41335.583413236236</v>
      </c>
      <c r="P113" s="77">
        <f>SUM(O113:O$115)</f>
        <v>86321.55221647711</v>
      </c>
      <c r="Q113" s="78">
        <f t="shared" si="4"/>
        <v>1.538983866412772</v>
      </c>
      <c r="R113" s="78"/>
      <c r="S113" s="78"/>
    </row>
    <row r="114" spans="1:20">
      <c r="A114" s="74" t="s">
        <v>76</v>
      </c>
      <c r="B114" s="89">
        <v>3964</v>
      </c>
      <c r="C114" s="89">
        <v>4161</v>
      </c>
      <c r="D114" s="89">
        <v>4387</v>
      </c>
      <c r="E114" s="68">
        <v>4536</v>
      </c>
      <c r="F114" s="79">
        <v>450</v>
      </c>
      <c r="G114" s="79">
        <v>368</v>
      </c>
      <c r="H114" s="79">
        <v>425</v>
      </c>
      <c r="I114" s="76">
        <v>0.39074533966238095</v>
      </c>
      <c r="J114" s="77">
        <v>41800.895510320712</v>
      </c>
      <c r="K114" s="77">
        <v>16333.505114371965</v>
      </c>
      <c r="L114" s="77">
        <v>33634.142953134731</v>
      </c>
      <c r="M114" s="77">
        <v>300819.77835718135</v>
      </c>
      <c r="N114" s="78">
        <v>7.1964912398326115</v>
      </c>
      <c r="O114" s="77">
        <f>T109*L114*5</f>
        <v>28404.835854302404</v>
      </c>
      <c r="P114" s="77">
        <f>SUM(O114:O$115)</f>
        <v>44985.968803240867</v>
      </c>
      <c r="Q114" s="78">
        <f t="shared" si="4"/>
        <v>1.0761962932620368</v>
      </c>
      <c r="R114" s="78"/>
      <c r="S114" s="78"/>
    </row>
    <row r="115" spans="1:20">
      <c r="A115" s="74" t="s">
        <v>14</v>
      </c>
      <c r="B115" s="89">
        <v>2583</v>
      </c>
      <c r="C115" s="89">
        <v>2516</v>
      </c>
      <c r="D115" s="89">
        <v>2595</v>
      </c>
      <c r="E115" s="68">
        <v>2727</v>
      </c>
      <c r="F115" s="74">
        <v>550</v>
      </c>
      <c r="G115" s="74">
        <v>468</v>
      </c>
      <c r="H115" s="74">
        <v>473</v>
      </c>
      <c r="I115" s="76">
        <v>0.64862748510027413</v>
      </c>
      <c r="J115" s="77">
        <v>25467.390395948747</v>
      </c>
      <c r="K115" s="77">
        <v>25467.390395948747</v>
      </c>
      <c r="L115" s="77">
        <v>132649.0635915077</v>
      </c>
      <c r="M115" s="77">
        <v>132649.0635915077</v>
      </c>
      <c r="N115" s="78">
        <v>5.2085848423876593</v>
      </c>
      <c r="O115" s="77">
        <f>T110*L115*5</f>
        <v>16581.132948938463</v>
      </c>
      <c r="P115" s="77">
        <f>SUM(O115:O$115)</f>
        <v>16581.132948938463</v>
      </c>
      <c r="Q115" s="78">
        <f t="shared" si="4"/>
        <v>0.65107310529845741</v>
      </c>
      <c r="R115" s="78"/>
    </row>
    <row r="116" spans="1:20">
      <c r="A116" s="67"/>
      <c r="B116" s="85"/>
    </row>
    <row r="117" spans="1:20">
      <c r="S117" s="86"/>
    </row>
    <row r="118" spans="1:20">
      <c r="A118" s="91"/>
      <c r="B118" s="149" t="s">
        <v>42</v>
      </c>
      <c r="C118" s="150"/>
      <c r="D118" s="150"/>
      <c r="E118" s="151"/>
      <c r="F118" s="149" t="s">
        <v>43</v>
      </c>
      <c r="G118" s="150"/>
      <c r="H118" s="151"/>
      <c r="I118" s="152" t="s">
        <v>44</v>
      </c>
      <c r="J118" s="153"/>
      <c r="K118" s="153"/>
      <c r="L118" s="153"/>
      <c r="M118" s="153"/>
      <c r="N118" s="154"/>
      <c r="O118" s="86"/>
      <c r="P118" s="86"/>
      <c r="Q118" s="86"/>
      <c r="R118" s="86"/>
      <c r="S118" s="88"/>
    </row>
    <row r="119" spans="1:20">
      <c r="A119" s="74" t="s">
        <v>27</v>
      </c>
      <c r="B119" s="69">
        <v>2021</v>
      </c>
      <c r="C119" s="69">
        <v>2022</v>
      </c>
      <c r="D119" s="69">
        <v>2023</v>
      </c>
      <c r="E119" s="69">
        <v>2024</v>
      </c>
      <c r="F119" s="69">
        <v>2022</v>
      </c>
      <c r="G119" s="69">
        <v>2023</v>
      </c>
      <c r="H119" s="69">
        <v>2024</v>
      </c>
      <c r="I119" s="70" t="s">
        <v>46</v>
      </c>
      <c r="J119" s="71" t="s">
        <v>47</v>
      </c>
      <c r="K119" s="71" t="s">
        <v>48</v>
      </c>
      <c r="L119" s="71" t="s">
        <v>49</v>
      </c>
      <c r="M119" s="71" t="s">
        <v>50</v>
      </c>
      <c r="N119" s="72" t="s">
        <v>51</v>
      </c>
      <c r="O119" s="88"/>
      <c r="P119" s="88"/>
      <c r="Q119" s="88"/>
      <c r="R119" s="88"/>
      <c r="S119" s="78"/>
    </row>
    <row r="120" spans="1:20">
      <c r="A120" s="74" t="s">
        <v>54</v>
      </c>
      <c r="B120" s="89">
        <v>3005</v>
      </c>
      <c r="C120" s="89">
        <v>2751</v>
      </c>
      <c r="D120" s="89">
        <v>2616</v>
      </c>
      <c r="E120" s="89">
        <v>2357</v>
      </c>
      <c r="F120" s="74">
        <v>16</v>
      </c>
      <c r="G120" s="74">
        <v>20</v>
      </c>
      <c r="H120" s="74">
        <v>8</v>
      </c>
      <c r="I120" s="76">
        <v>5.6965302951838426E-3</v>
      </c>
      <c r="J120" s="77">
        <v>100000</v>
      </c>
      <c r="K120" s="77">
        <v>569.65302951837657</v>
      </c>
      <c r="L120" s="77">
        <v>99487.312273433461</v>
      </c>
      <c r="M120" s="77">
        <v>7327952.3122076876</v>
      </c>
      <c r="N120" s="78">
        <v>73.279523122076881</v>
      </c>
      <c r="O120" s="78"/>
      <c r="P120" s="78"/>
      <c r="Q120" s="78"/>
      <c r="R120" s="78"/>
      <c r="S120" s="78"/>
    </row>
    <row r="121" spans="1:20">
      <c r="A121" s="74" t="s">
        <v>55</v>
      </c>
      <c r="B121" s="89">
        <v>12752</v>
      </c>
      <c r="C121" s="89">
        <v>12498</v>
      </c>
      <c r="D121" s="89">
        <v>12032</v>
      </c>
      <c r="E121" s="89">
        <v>11557</v>
      </c>
      <c r="F121" s="74">
        <v>6</v>
      </c>
      <c r="G121" s="74">
        <v>5</v>
      </c>
      <c r="H121" s="74">
        <v>5</v>
      </c>
      <c r="I121" s="76">
        <v>1.7430855337518556E-3</v>
      </c>
      <c r="J121" s="77">
        <v>99430.346970481623</v>
      </c>
      <c r="K121" s="77">
        <v>173.31559942018066</v>
      </c>
      <c r="L121" s="77">
        <v>99343.68917077154</v>
      </c>
      <c r="M121" s="77">
        <v>7228464.9999342542</v>
      </c>
      <c r="N121" s="78">
        <v>72.698780806630438</v>
      </c>
      <c r="O121" s="78"/>
      <c r="P121" s="78"/>
      <c r="Q121" s="78"/>
      <c r="R121" s="78"/>
      <c r="S121" s="78"/>
    </row>
    <row r="122" spans="1:20">
      <c r="A122" s="74" t="s">
        <v>56</v>
      </c>
      <c r="B122" s="89">
        <v>15915</v>
      </c>
      <c r="C122" s="89">
        <v>16061</v>
      </c>
      <c r="D122" s="89">
        <v>16123</v>
      </c>
      <c r="E122" s="89">
        <v>16140</v>
      </c>
      <c r="F122" s="90" t="s">
        <v>54</v>
      </c>
      <c r="G122" s="79">
        <v>3</v>
      </c>
      <c r="H122" s="79">
        <v>1</v>
      </c>
      <c r="I122" s="76">
        <v>3.7947310682851795E-4</v>
      </c>
      <c r="J122" s="77">
        <v>99257.031371061443</v>
      </c>
      <c r="K122" s="77">
        <v>37.665374068950769</v>
      </c>
      <c r="L122" s="77">
        <v>99238.198684026967</v>
      </c>
      <c r="M122" s="77">
        <v>6831090.2432511682</v>
      </c>
      <c r="N122" s="78">
        <v>68.822230011231071</v>
      </c>
      <c r="O122" s="78"/>
      <c r="P122" s="78"/>
      <c r="Q122" s="78"/>
      <c r="R122" s="78"/>
      <c r="S122" s="78"/>
    </row>
    <row r="123" spans="1:20">
      <c r="A123" s="74" t="s">
        <v>57</v>
      </c>
      <c r="B123" s="89">
        <v>15954</v>
      </c>
      <c r="C123" s="89">
        <v>16010</v>
      </c>
      <c r="D123" s="89">
        <v>15930</v>
      </c>
      <c r="E123" s="89">
        <v>15684</v>
      </c>
      <c r="F123" s="79">
        <v>1</v>
      </c>
      <c r="G123" s="79">
        <v>5</v>
      </c>
      <c r="H123" s="79">
        <v>1</v>
      </c>
      <c r="I123" s="76">
        <v>6.6853479871037142E-4</v>
      </c>
      <c r="J123" s="77">
        <v>99219.365996992492</v>
      </c>
      <c r="K123" s="77">
        <v>66.331598874967312</v>
      </c>
      <c r="L123" s="77">
        <v>99186.200197555008</v>
      </c>
      <c r="M123" s="77">
        <v>6334899.2498310329</v>
      </c>
      <c r="N123" s="78">
        <v>63.847407067921139</v>
      </c>
      <c r="O123" s="78"/>
      <c r="P123" s="78"/>
      <c r="Q123" s="78"/>
      <c r="R123" s="78"/>
      <c r="S123" s="78"/>
    </row>
    <row r="124" spans="1:20">
      <c r="A124" s="74" t="s">
        <v>58</v>
      </c>
      <c r="B124" s="89">
        <v>15304</v>
      </c>
      <c r="C124" s="89">
        <v>15474</v>
      </c>
      <c r="D124" s="89">
        <v>15628</v>
      </c>
      <c r="E124" s="89">
        <v>15887</v>
      </c>
      <c r="F124" s="79">
        <v>9</v>
      </c>
      <c r="G124" s="79">
        <v>4</v>
      </c>
      <c r="H124" s="79">
        <v>8</v>
      </c>
      <c r="I124" s="76">
        <v>2.6959625375851852E-3</v>
      </c>
      <c r="J124" s="77">
        <v>99153.034398117525</v>
      </c>
      <c r="K124" s="77">
        <v>267.31286622522748</v>
      </c>
      <c r="L124" s="77">
        <v>99019.377965004911</v>
      </c>
      <c r="M124" s="77">
        <v>5838968.2488432582</v>
      </c>
      <c r="N124" s="78">
        <v>58.8884473812343</v>
      </c>
      <c r="O124" s="78"/>
      <c r="P124" s="78"/>
      <c r="Q124" s="78"/>
      <c r="R124" s="78"/>
      <c r="S124" s="78"/>
    </row>
    <row r="125" spans="1:20">
      <c r="A125" s="74" t="s">
        <v>59</v>
      </c>
      <c r="B125" s="89">
        <v>16325</v>
      </c>
      <c r="C125" s="89">
        <v>15796</v>
      </c>
      <c r="D125" s="89">
        <v>15436</v>
      </c>
      <c r="E125" s="89">
        <v>15148</v>
      </c>
      <c r="F125" s="79">
        <v>18</v>
      </c>
      <c r="G125" s="79">
        <v>15</v>
      </c>
      <c r="H125" s="79">
        <v>18</v>
      </c>
      <c r="I125" s="76">
        <v>4.4133005382322949E-3</v>
      </c>
      <c r="J125" s="77">
        <v>98885.721531892297</v>
      </c>
      <c r="K125" s="77">
        <v>436.4124080601905</v>
      </c>
      <c r="L125" s="77">
        <v>98667.515327862202</v>
      </c>
      <c r="M125" s="77">
        <v>5343871.3590182336</v>
      </c>
      <c r="N125" s="78">
        <v>54.040879474138698</v>
      </c>
      <c r="O125" s="78"/>
      <c r="P125" s="78"/>
      <c r="Q125" s="78"/>
      <c r="R125" s="78"/>
      <c r="S125" s="78"/>
    </row>
    <row r="126" spans="1:20">
      <c r="A126" s="74" t="s">
        <v>60</v>
      </c>
      <c r="B126" s="89">
        <v>18914</v>
      </c>
      <c r="C126" s="89">
        <v>18167</v>
      </c>
      <c r="D126" s="89">
        <v>17330</v>
      </c>
      <c r="E126" s="89">
        <v>16861</v>
      </c>
      <c r="F126" s="79">
        <v>13</v>
      </c>
      <c r="G126" s="79">
        <v>15</v>
      </c>
      <c r="H126" s="79">
        <v>21</v>
      </c>
      <c r="I126" s="76">
        <v>5.297901784247043E-3</v>
      </c>
      <c r="J126" s="77">
        <v>98449.309123832107</v>
      </c>
      <c r="K126" s="77">
        <v>521.57477046504209</v>
      </c>
      <c r="L126" s="77">
        <v>98188.521738599578</v>
      </c>
      <c r="M126" s="77">
        <v>4850533.7823789222</v>
      </c>
      <c r="N126" s="78">
        <v>49.269353188429129</v>
      </c>
      <c r="O126" s="78"/>
      <c r="P126" s="78"/>
      <c r="Q126" s="78"/>
      <c r="R126" s="78"/>
      <c r="S126" s="78"/>
    </row>
    <row r="127" spans="1:20">
      <c r="A127" s="74" t="s">
        <v>61</v>
      </c>
      <c r="B127" s="89">
        <v>22126</v>
      </c>
      <c r="C127" s="89">
        <v>21450</v>
      </c>
      <c r="D127" s="89">
        <v>20941</v>
      </c>
      <c r="E127" s="89">
        <v>20125</v>
      </c>
      <c r="F127" s="79">
        <v>36</v>
      </c>
      <c r="G127" s="79">
        <v>25</v>
      </c>
      <c r="H127" s="79">
        <v>37</v>
      </c>
      <c r="I127" s="76">
        <v>7.8570673770439001E-3</v>
      </c>
      <c r="J127" s="77">
        <v>97927.734353367065</v>
      </c>
      <c r="K127" s="77">
        <v>769.42480689566582</v>
      </c>
      <c r="L127" s="77">
        <v>97543.021949919232</v>
      </c>
      <c r="M127" s="77">
        <v>4359591.1736859242</v>
      </c>
      <c r="N127" s="78">
        <v>44.518452330925676</v>
      </c>
      <c r="O127" s="78"/>
      <c r="P127" s="78"/>
      <c r="Q127" s="78"/>
      <c r="R127" s="78"/>
      <c r="S127" s="78"/>
    </row>
    <row r="128" spans="1:20" ht="13.5">
      <c r="A128" s="74" t="s">
        <v>62</v>
      </c>
      <c r="B128" s="89">
        <v>24300</v>
      </c>
      <c r="C128" s="89">
        <v>23831</v>
      </c>
      <c r="D128" s="89">
        <v>23089</v>
      </c>
      <c r="E128" s="89">
        <v>22408</v>
      </c>
      <c r="F128" s="79">
        <v>65</v>
      </c>
      <c r="G128" s="79">
        <v>59</v>
      </c>
      <c r="H128" s="79">
        <v>59</v>
      </c>
      <c r="I128" s="76">
        <v>1.2353385813039769E-2</v>
      </c>
      <c r="J128" s="77">
        <v>97158.309546471399</v>
      </c>
      <c r="K128" s="77">
        <v>1200.2340827703156</v>
      </c>
      <c r="L128" s="77">
        <v>96558.192505086248</v>
      </c>
      <c r="M128" s="77">
        <v>3871876.0639363276</v>
      </c>
      <c r="N128" s="78">
        <v>39.851208630635817</v>
      </c>
      <c r="O128" s="78"/>
      <c r="P128" s="78"/>
      <c r="Q128" s="78"/>
      <c r="R128" s="78"/>
      <c r="S128" s="78"/>
      <c r="T128" s="67" t="s">
        <v>65</v>
      </c>
    </row>
    <row r="129" spans="1:20">
      <c r="A129" s="74" t="s">
        <v>64</v>
      </c>
      <c r="B129" s="89">
        <v>25620</v>
      </c>
      <c r="C129" s="89">
        <v>24960</v>
      </c>
      <c r="D129" s="89">
        <v>24416</v>
      </c>
      <c r="E129" s="89">
        <v>24074</v>
      </c>
      <c r="F129" s="79">
        <v>77</v>
      </c>
      <c r="G129" s="79">
        <v>86</v>
      </c>
      <c r="H129" s="79">
        <v>80</v>
      </c>
      <c r="I129" s="76">
        <v>1.6097331261745524E-2</v>
      </c>
      <c r="J129" s="77">
        <v>95958.075463701083</v>
      </c>
      <c r="K129" s="77">
        <v>1544.6689279787679</v>
      </c>
      <c r="L129" s="77">
        <v>95185.740999711707</v>
      </c>
      <c r="M129" s="77">
        <v>3389085.1014108965</v>
      </c>
      <c r="N129" s="78">
        <v>35.318393840577968</v>
      </c>
      <c r="O129" s="78"/>
      <c r="P129" s="78"/>
      <c r="Q129" s="78"/>
      <c r="R129" s="78"/>
      <c r="S129" s="78" t="str">
        <f>S106</f>
        <v>45-54</v>
      </c>
      <c r="T129" s="104">
        <f>'nový výpočet'!R33</f>
        <v>0.80165912626677061</v>
      </c>
    </row>
    <row r="130" spans="1:20">
      <c r="A130" s="74" t="s">
        <v>66</v>
      </c>
      <c r="B130" s="89">
        <v>25144</v>
      </c>
      <c r="C130" s="89">
        <v>25808</v>
      </c>
      <c r="D130" s="89">
        <v>26009</v>
      </c>
      <c r="E130" s="89">
        <v>25936</v>
      </c>
      <c r="F130" s="79">
        <v>123</v>
      </c>
      <c r="G130" s="79">
        <v>110</v>
      </c>
      <c r="H130" s="79">
        <v>102</v>
      </c>
      <c r="I130" s="76">
        <v>2.1576670751826101E-2</v>
      </c>
      <c r="J130" s="77">
        <v>94413.406535722315</v>
      </c>
      <c r="K130" s="77">
        <v>2037.1269873795827</v>
      </c>
      <c r="L130" s="77">
        <v>93394.843042032531</v>
      </c>
      <c r="M130" s="77">
        <v>2913156.3964123381</v>
      </c>
      <c r="N130" s="78">
        <v>30.85532556555</v>
      </c>
      <c r="O130" s="96">
        <f>T129*L130*5</f>
        <v>374354.1413544899</v>
      </c>
      <c r="P130" s="96">
        <f>SUM(O130:O138)</f>
        <v>1452096.5870773275</v>
      </c>
      <c r="Q130" s="78"/>
      <c r="R130" s="78"/>
      <c r="S130" s="78" t="str">
        <f t="shared" ref="S130:S133" si="5">S107</f>
        <v>55-64</v>
      </c>
      <c r="T130" s="104">
        <f>'nový výpočet'!S33</f>
        <v>0.48099999999999998</v>
      </c>
    </row>
    <row r="131" spans="1:20">
      <c r="A131" s="74" t="s">
        <v>68</v>
      </c>
      <c r="B131" s="89">
        <v>20493</v>
      </c>
      <c r="C131" s="89">
        <v>20924</v>
      </c>
      <c r="D131" s="89">
        <v>21648</v>
      </c>
      <c r="E131" s="89">
        <v>22508</v>
      </c>
      <c r="F131" s="79">
        <v>155</v>
      </c>
      <c r="G131" s="79">
        <v>151</v>
      </c>
      <c r="H131" s="79">
        <v>141</v>
      </c>
      <c r="I131" s="76">
        <v>3.4549593817754354E-2</v>
      </c>
      <c r="J131" s="77">
        <v>92376.279548342733</v>
      </c>
      <c r="K131" s="77">
        <v>3191.562936790564</v>
      </c>
      <c r="L131" s="77">
        <v>90780.498079947458</v>
      </c>
      <c r="M131" s="77">
        <v>2446182.1812021756</v>
      </c>
      <c r="N131" s="78">
        <v>26.480631100996327</v>
      </c>
      <c r="O131" s="96">
        <f>T129*L131*5</f>
        <v>363875.07386416465</v>
      </c>
      <c r="P131" s="96">
        <f t="shared" ref="P131:P138" si="6">SUM(O131:O139)</f>
        <v>1077742.4457228375</v>
      </c>
      <c r="Q131" s="78">
        <f>P131/J131</f>
        <v>11.666874342550555</v>
      </c>
      <c r="R131" s="78" t="str">
        <f>R108</f>
        <v>AAI 4.2</v>
      </c>
      <c r="S131" s="78" t="str">
        <f t="shared" si="5"/>
        <v>65-74</v>
      </c>
      <c r="T131" s="104">
        <f>'nový výpočet'!T33</f>
        <v>0.32644028551815713</v>
      </c>
    </row>
    <row r="132" spans="1:20">
      <c r="A132" s="74" t="s">
        <v>71</v>
      </c>
      <c r="B132" s="89">
        <v>21165</v>
      </c>
      <c r="C132" s="89">
        <v>20764</v>
      </c>
      <c r="D132" s="89">
        <v>20219</v>
      </c>
      <c r="E132" s="89">
        <v>19896</v>
      </c>
      <c r="F132" s="79">
        <v>267</v>
      </c>
      <c r="G132" s="79">
        <v>244</v>
      </c>
      <c r="H132" s="79">
        <v>233</v>
      </c>
      <c r="I132" s="76">
        <v>5.9516852331361315E-2</v>
      </c>
      <c r="J132" s="77">
        <v>89184.716611552169</v>
      </c>
      <c r="K132" s="77">
        <v>5307.993608784047</v>
      </c>
      <c r="L132" s="77">
        <v>86530.719807160145</v>
      </c>
      <c r="M132" s="77">
        <v>1992279.6908024384</v>
      </c>
      <c r="N132" s="78">
        <v>22.338801607453636</v>
      </c>
      <c r="O132" s="96">
        <f>T130*L132*5</f>
        <v>208106.38113622015</v>
      </c>
      <c r="P132" s="96">
        <f t="shared" si="6"/>
        <v>713867.37185867259</v>
      </c>
      <c r="Q132" s="78">
        <f t="shared" ref="Q132:Q138" si="7">P132/J132</f>
        <v>8.0043688984061294</v>
      </c>
      <c r="R132" s="97">
        <f>(AVERAGE(Q131:Q132)/AVERAGE(N131:N132))</f>
        <v>0.40293879198542726</v>
      </c>
      <c r="S132" s="78" t="str">
        <f t="shared" si="5"/>
        <v>75-84</v>
      </c>
      <c r="T132" s="104">
        <f>'nový výpočet'!U33</f>
        <v>0.22154523910431589</v>
      </c>
    </row>
    <row r="133" spans="1:20">
      <c r="A133" s="74" t="s">
        <v>72</v>
      </c>
      <c r="B133" s="89">
        <v>20001</v>
      </c>
      <c r="C133" s="89">
        <v>19686</v>
      </c>
      <c r="D133" s="89">
        <v>19787</v>
      </c>
      <c r="E133" s="89">
        <v>19873</v>
      </c>
      <c r="F133" s="79">
        <v>400</v>
      </c>
      <c r="G133" s="79">
        <v>417</v>
      </c>
      <c r="H133" s="79">
        <v>371</v>
      </c>
      <c r="I133" s="76">
        <v>9.3055701665152299E-2</v>
      </c>
      <c r="J133" s="77">
        <v>83876.723002768122</v>
      </c>
      <c r="K133" s="77">
        <v>7805.2073123962036</v>
      </c>
      <c r="L133" s="77">
        <v>79974.11934657002</v>
      </c>
      <c r="M133" s="77">
        <v>1559626.0917666377</v>
      </c>
      <c r="N133" s="78">
        <v>18.594265917078886</v>
      </c>
      <c r="O133" s="96">
        <f>T130*L133*5</f>
        <v>192337.7570285009</v>
      </c>
      <c r="P133" s="96">
        <f t="shared" si="6"/>
        <v>505760.99072245246</v>
      </c>
      <c r="Q133" s="78">
        <f t="shared" si="7"/>
        <v>6.0298134287597431</v>
      </c>
      <c r="R133" s="78"/>
      <c r="S133" s="78" t="str">
        <f t="shared" si="5"/>
        <v>85+</v>
      </c>
      <c r="T133" s="104">
        <f>'nový výpočet'!V33</f>
        <v>2.5000000000000001E-2</v>
      </c>
    </row>
    <row r="134" spans="1:20">
      <c r="A134" s="74" t="s">
        <v>73</v>
      </c>
      <c r="B134" s="89">
        <v>18236</v>
      </c>
      <c r="C134" s="89">
        <v>18395</v>
      </c>
      <c r="D134" s="89">
        <v>18219</v>
      </c>
      <c r="E134" s="89">
        <v>18038</v>
      </c>
      <c r="F134" s="79">
        <v>552</v>
      </c>
      <c r="G134" s="79">
        <v>505</v>
      </c>
      <c r="H134" s="79">
        <v>510</v>
      </c>
      <c r="I134" s="76">
        <v>0.13479151108574031</v>
      </c>
      <c r="J134" s="77">
        <v>76071.515690371918</v>
      </c>
      <c r="K134" s="77">
        <v>10253.79455048783</v>
      </c>
      <c r="L134" s="77">
        <v>70944.618415128003</v>
      </c>
      <c r="M134" s="77">
        <v>1159755.4950337876</v>
      </c>
      <c r="N134" s="78">
        <v>15.245594681644727</v>
      </c>
      <c r="O134" s="96">
        <f>T131*L134*5</f>
        <v>115795.90745705547</v>
      </c>
      <c r="P134" s="96">
        <f t="shared" si="6"/>
        <v>313423.23369395157</v>
      </c>
      <c r="Q134" s="78">
        <f t="shared" si="7"/>
        <v>4.120112907565221</v>
      </c>
      <c r="R134" s="78"/>
      <c r="S134" s="78"/>
    </row>
    <row r="135" spans="1:20">
      <c r="A135" s="74" t="s">
        <v>74</v>
      </c>
      <c r="B135" s="89">
        <v>13283</v>
      </c>
      <c r="C135" s="89">
        <v>13769</v>
      </c>
      <c r="D135" s="89">
        <v>14389</v>
      </c>
      <c r="E135" s="89">
        <v>14944</v>
      </c>
      <c r="F135" s="79">
        <v>670</v>
      </c>
      <c r="G135" s="79">
        <v>564</v>
      </c>
      <c r="H135" s="79">
        <v>573</v>
      </c>
      <c r="I135" s="76">
        <v>0.19213322092682666</v>
      </c>
      <c r="J135" s="77">
        <v>65817.721139884088</v>
      </c>
      <c r="K135" s="77">
        <v>12645.770756669626</v>
      </c>
      <c r="L135" s="77">
        <v>59494.835761549271</v>
      </c>
      <c r="M135" s="77">
        <v>805032.40295814769</v>
      </c>
      <c r="N135" s="78">
        <v>12.231240903148132</v>
      </c>
      <c r="O135" s="96">
        <f>T131*L135*5</f>
        <v>97107.555864280032</v>
      </c>
      <c r="P135" s="96">
        <f t="shared" si="6"/>
        <v>197627.32623689607</v>
      </c>
      <c r="Q135" s="78">
        <f t="shared" si="7"/>
        <v>3.0026461386724961</v>
      </c>
      <c r="R135" s="78"/>
      <c r="S135" s="78"/>
    </row>
    <row r="136" spans="1:20">
      <c r="A136" s="74" t="s">
        <v>75</v>
      </c>
      <c r="B136" s="89">
        <v>7079</v>
      </c>
      <c r="C136" s="89">
        <v>7427</v>
      </c>
      <c r="D136" s="89">
        <v>8008</v>
      </c>
      <c r="E136" s="89">
        <v>8577</v>
      </c>
      <c r="F136" s="79">
        <v>507</v>
      </c>
      <c r="G136" s="79">
        <v>510</v>
      </c>
      <c r="H136" s="79">
        <v>478</v>
      </c>
      <c r="I136" s="76">
        <v>0.27304686344666812</v>
      </c>
      <c r="J136" s="77">
        <v>53171.950383214462</v>
      </c>
      <c r="K136" s="77">
        <v>14518.434275478568</v>
      </c>
      <c r="L136" s="77">
        <v>45912.733245475174</v>
      </c>
      <c r="M136" s="77">
        <v>507558.22415040131</v>
      </c>
      <c r="N136" s="78">
        <v>9.545601026337927</v>
      </c>
      <c r="O136" s="96">
        <f>T132*L136*5</f>
        <v>50858.73732400735</v>
      </c>
      <c r="P136" s="96">
        <f t="shared" si="6"/>
        <v>100519.77037261607</v>
      </c>
      <c r="Q136" s="78">
        <f t="shared" si="7"/>
        <v>1.8904661132074734</v>
      </c>
      <c r="R136" s="78"/>
      <c r="S136" s="78"/>
    </row>
    <row r="137" spans="1:20">
      <c r="A137" s="74" t="s">
        <v>76</v>
      </c>
      <c r="B137" s="89">
        <v>3896</v>
      </c>
      <c r="C137" s="89">
        <v>4167</v>
      </c>
      <c r="D137" s="89">
        <v>4385</v>
      </c>
      <c r="E137" s="89">
        <v>4527</v>
      </c>
      <c r="F137" s="79">
        <v>427</v>
      </c>
      <c r="G137" s="79">
        <v>422</v>
      </c>
      <c r="H137" s="79">
        <v>434</v>
      </c>
      <c r="I137" s="76">
        <v>0.40166551875273931</v>
      </c>
      <c r="J137" s="77">
        <v>38653.516107735893</v>
      </c>
      <c r="K137" s="77">
        <v>15525.784599031103</v>
      </c>
      <c r="L137" s="77">
        <v>30890.623808220342</v>
      </c>
      <c r="M137" s="77">
        <v>277994.55792302545</v>
      </c>
      <c r="N137" s="78">
        <v>7.1919604195435465</v>
      </c>
      <c r="O137" s="96">
        <f>T132*L137*5</f>
        <v>34218.353188368244</v>
      </c>
      <c r="P137" s="96">
        <f t="shared" si="6"/>
        <v>49661.033048608719</v>
      </c>
      <c r="Q137" s="78">
        <f t="shared" si="7"/>
        <v>1.2847740140946671</v>
      </c>
      <c r="R137" s="78"/>
      <c r="S137" s="78"/>
    </row>
    <row r="138" spans="1:20">
      <c r="A138" s="74" t="s">
        <v>14</v>
      </c>
      <c r="B138" s="89">
        <v>2491</v>
      </c>
      <c r="C138" s="89">
        <v>2521</v>
      </c>
      <c r="D138" s="89">
        <v>2547</v>
      </c>
      <c r="E138" s="89">
        <v>2693</v>
      </c>
      <c r="F138" s="74">
        <v>493</v>
      </c>
      <c r="G138" s="74">
        <v>479</v>
      </c>
      <c r="H138" s="74">
        <v>462</v>
      </c>
      <c r="I138" s="76">
        <v>0.63761671854157409</v>
      </c>
      <c r="J138" s="77">
        <v>23127.73150870479</v>
      </c>
      <c r="K138" s="77">
        <v>23127.73150870479</v>
      </c>
      <c r="L138" s="77">
        <v>123541.43888192376</v>
      </c>
      <c r="M138" s="77">
        <v>123541.43888192376</v>
      </c>
      <c r="N138" s="78">
        <v>5.341701534170153</v>
      </c>
      <c r="O138" s="96">
        <f>T133*L138*5</f>
        <v>15442.679860240471</v>
      </c>
      <c r="P138" s="96">
        <f t="shared" si="6"/>
        <v>15442.679860240471</v>
      </c>
      <c r="Q138" s="78">
        <f t="shared" si="7"/>
        <v>0.66771269177126913</v>
      </c>
      <c r="R138" s="78"/>
    </row>
    <row r="139" spans="1:20">
      <c r="A139" s="67"/>
      <c r="B139" s="85"/>
      <c r="C139" s="85"/>
      <c r="F139" s="85"/>
    </row>
    <row r="140" spans="1:20">
      <c r="S140" s="86"/>
    </row>
    <row r="141" spans="1:20">
      <c r="B141" s="149" t="s">
        <v>42</v>
      </c>
      <c r="C141" s="150"/>
      <c r="D141" s="150"/>
      <c r="E141" s="151"/>
      <c r="F141" s="149" t="s">
        <v>43</v>
      </c>
      <c r="G141" s="150"/>
      <c r="H141" s="151"/>
      <c r="I141" s="152" t="s">
        <v>44</v>
      </c>
      <c r="J141" s="153"/>
      <c r="K141" s="153"/>
      <c r="L141" s="153"/>
      <c r="M141" s="153"/>
      <c r="N141" s="154"/>
      <c r="O141" s="86"/>
      <c r="P141" s="86"/>
      <c r="Q141" s="86"/>
      <c r="R141" s="86"/>
      <c r="S141" s="88"/>
    </row>
    <row r="142" spans="1:20">
      <c r="A142" s="74" t="s">
        <v>28</v>
      </c>
      <c r="B142" s="69">
        <v>2021</v>
      </c>
      <c r="C142" s="69">
        <v>2022</v>
      </c>
      <c r="D142" s="69">
        <v>2023</v>
      </c>
      <c r="E142" s="69">
        <v>2024</v>
      </c>
      <c r="F142" s="69">
        <v>2022</v>
      </c>
      <c r="G142" s="69">
        <v>2023</v>
      </c>
      <c r="H142" s="69">
        <v>2024</v>
      </c>
      <c r="I142" s="70" t="s">
        <v>46</v>
      </c>
      <c r="J142" s="71" t="s">
        <v>47</v>
      </c>
      <c r="K142" s="71" t="s">
        <v>48</v>
      </c>
      <c r="L142" s="71" t="s">
        <v>49</v>
      </c>
      <c r="M142" s="71" t="s">
        <v>50</v>
      </c>
      <c r="N142" s="72" t="s">
        <v>51</v>
      </c>
      <c r="O142" s="88"/>
      <c r="P142" s="88"/>
      <c r="Q142" s="88"/>
      <c r="R142" s="88"/>
      <c r="S142" s="78"/>
    </row>
    <row r="143" spans="1:20">
      <c r="A143" s="74" t="s">
        <v>54</v>
      </c>
      <c r="B143" s="74">
        <v>5060</v>
      </c>
      <c r="C143" s="89">
        <v>4888</v>
      </c>
      <c r="D143" s="74">
        <v>4614</v>
      </c>
      <c r="E143" s="74">
        <v>4779</v>
      </c>
      <c r="F143" s="74">
        <v>63</v>
      </c>
      <c r="G143" s="74">
        <v>40</v>
      </c>
      <c r="H143" s="74">
        <v>63</v>
      </c>
      <c r="I143" s="76">
        <v>1.1623835865835725E-2</v>
      </c>
      <c r="J143" s="77">
        <v>100000</v>
      </c>
      <c r="K143" s="77">
        <v>1162.3835865835717</v>
      </c>
      <c r="L143" s="77">
        <v>98953.854772074788</v>
      </c>
      <c r="M143" s="77">
        <v>7451377.5766506596</v>
      </c>
      <c r="N143" s="78">
        <v>74.513775766506598</v>
      </c>
      <c r="O143" s="78"/>
      <c r="P143" s="78"/>
      <c r="Q143" s="78"/>
      <c r="R143" s="78"/>
      <c r="S143" s="78"/>
    </row>
    <row r="144" spans="1:20">
      <c r="A144" s="74" t="s">
        <v>55</v>
      </c>
      <c r="B144" s="74">
        <v>20567</v>
      </c>
      <c r="C144" s="89">
        <v>20564</v>
      </c>
      <c r="D144" s="74">
        <v>20385</v>
      </c>
      <c r="E144" s="74">
        <v>19899</v>
      </c>
      <c r="F144" s="74">
        <v>7</v>
      </c>
      <c r="G144" s="74">
        <v>12</v>
      </c>
      <c r="H144" s="74">
        <v>7</v>
      </c>
      <c r="I144" s="76">
        <v>1.6984028480909298E-3</v>
      </c>
      <c r="J144" s="77">
        <v>98837.616413416428</v>
      </c>
      <c r="K144" s="77">
        <v>167.86608921506559</v>
      </c>
      <c r="L144" s="77">
        <v>98753.683368808895</v>
      </c>
      <c r="M144" s="77">
        <v>7352423.7218785845</v>
      </c>
      <c r="N144" s="78">
        <v>74.388921836449214</v>
      </c>
      <c r="O144" s="78"/>
      <c r="P144" s="78"/>
      <c r="Q144" s="78"/>
      <c r="R144" s="78"/>
      <c r="S144" s="78"/>
    </row>
    <row r="145" spans="1:20">
      <c r="A145" s="74" t="s">
        <v>56</v>
      </c>
      <c r="B145" s="74">
        <v>25167</v>
      </c>
      <c r="C145" s="89">
        <v>25277</v>
      </c>
      <c r="D145" s="74">
        <v>25464</v>
      </c>
      <c r="E145" s="74">
        <v>25747</v>
      </c>
      <c r="F145" s="79">
        <v>3</v>
      </c>
      <c r="G145" s="79">
        <v>1</v>
      </c>
      <c r="H145" s="79">
        <v>2</v>
      </c>
      <c r="I145" s="76">
        <v>2.193573688955606E-5</v>
      </c>
      <c r="J145" s="77">
        <v>98669.750324201363</v>
      </c>
      <c r="K145" s="77">
        <v>2.1643936820764793</v>
      </c>
      <c r="L145" s="77">
        <v>98668.668127360317</v>
      </c>
      <c r="M145" s="77">
        <v>6957408.9884033492</v>
      </c>
      <c r="N145" s="78">
        <v>70.512076553789157</v>
      </c>
      <c r="O145" s="78"/>
      <c r="P145" s="78"/>
      <c r="Q145" s="78"/>
      <c r="R145" s="78"/>
      <c r="S145" s="78"/>
    </row>
    <row r="146" spans="1:20">
      <c r="A146" s="74" t="s">
        <v>57</v>
      </c>
      <c r="B146" s="74">
        <v>25015</v>
      </c>
      <c r="C146" s="89">
        <v>25310</v>
      </c>
      <c r="D146" s="74">
        <v>25295</v>
      </c>
      <c r="E146" s="74">
        <v>24929</v>
      </c>
      <c r="F146" s="79">
        <v>2</v>
      </c>
      <c r="G146" s="79">
        <v>7</v>
      </c>
      <c r="H146" s="79">
        <v>4</v>
      </c>
      <c r="I146" s="76">
        <v>6.2106298427682695E-4</v>
      </c>
      <c r="J146" s="77">
        <v>98667.585930519286</v>
      </c>
      <c r="K146" s="77">
        <v>61.278785369388061</v>
      </c>
      <c r="L146" s="77">
        <v>98636.946537834592</v>
      </c>
      <c r="M146" s="77">
        <v>6464065.6477665473</v>
      </c>
      <c r="N146" s="78">
        <v>65.513568481532289</v>
      </c>
      <c r="O146" s="78"/>
      <c r="P146" s="78"/>
      <c r="Q146" s="78"/>
      <c r="R146" s="78"/>
      <c r="S146" s="78"/>
    </row>
    <row r="147" spans="1:20">
      <c r="A147" s="74" t="s">
        <v>58</v>
      </c>
      <c r="B147" s="74">
        <v>23724</v>
      </c>
      <c r="C147" s="89">
        <v>23804</v>
      </c>
      <c r="D147" s="74">
        <v>24104</v>
      </c>
      <c r="E147" s="74">
        <v>24560</v>
      </c>
      <c r="F147" s="79">
        <v>9</v>
      </c>
      <c r="G147" s="79">
        <v>6</v>
      </c>
      <c r="H147" s="79">
        <v>5</v>
      </c>
      <c r="I147" s="76">
        <v>1.7181589906141979E-3</v>
      </c>
      <c r="J147" s="77">
        <v>98606.307145149898</v>
      </c>
      <c r="K147" s="77">
        <v>169.42131315270672</v>
      </c>
      <c r="L147" s="77">
        <v>98521.596488573545</v>
      </c>
      <c r="M147" s="77">
        <v>5970880.9150773743</v>
      </c>
      <c r="N147" s="78">
        <v>60.552728197073158</v>
      </c>
      <c r="O147" s="78"/>
      <c r="P147" s="78"/>
      <c r="Q147" s="78"/>
      <c r="R147" s="78"/>
      <c r="S147" s="78"/>
    </row>
    <row r="148" spans="1:20">
      <c r="A148" s="74" t="s">
        <v>59</v>
      </c>
      <c r="B148" s="74">
        <v>25394</v>
      </c>
      <c r="C148" s="89">
        <v>24638</v>
      </c>
      <c r="D148" s="74">
        <v>24108</v>
      </c>
      <c r="E148" s="74">
        <v>23900</v>
      </c>
      <c r="F148" s="79">
        <v>17</v>
      </c>
      <c r="G148" s="79">
        <v>19</v>
      </c>
      <c r="H148" s="79">
        <v>16</v>
      </c>
      <c r="I148" s="76">
        <v>3.1556467868963239E-3</v>
      </c>
      <c r="J148" s="77">
        <v>98436.885831997191</v>
      </c>
      <c r="K148" s="77">
        <v>310.63204248782131</v>
      </c>
      <c r="L148" s="77">
        <v>98281.569810753281</v>
      </c>
      <c r="M148" s="77">
        <v>5478272.9326345064</v>
      </c>
      <c r="N148" s="78">
        <v>55.652643684647913</v>
      </c>
      <c r="O148" s="78"/>
      <c r="P148" s="78"/>
      <c r="Q148" s="78"/>
      <c r="R148" s="78"/>
      <c r="S148" s="78"/>
    </row>
    <row r="149" spans="1:20">
      <c r="A149" s="74" t="s">
        <v>60</v>
      </c>
      <c r="B149" s="74">
        <v>28972</v>
      </c>
      <c r="C149" s="89">
        <v>27932</v>
      </c>
      <c r="D149" s="74">
        <v>26713</v>
      </c>
      <c r="E149" s="74">
        <v>25910</v>
      </c>
      <c r="F149" s="79">
        <v>22</v>
      </c>
      <c r="G149" s="79">
        <v>26</v>
      </c>
      <c r="H149" s="79">
        <v>24</v>
      </c>
      <c r="I149" s="76">
        <v>4.5012427555551852E-3</v>
      </c>
      <c r="J149" s="77">
        <v>98126.25378950937</v>
      </c>
      <c r="K149" s="77">
        <v>441.69008899979235</v>
      </c>
      <c r="L149" s="77">
        <v>97905.408745009481</v>
      </c>
      <c r="M149" s="77">
        <v>4986865.0835807398</v>
      </c>
      <c r="N149" s="78">
        <v>50.820905629171008</v>
      </c>
      <c r="O149" s="78"/>
      <c r="P149" s="78"/>
      <c r="Q149" s="78"/>
      <c r="R149" s="78"/>
      <c r="S149" s="78"/>
    </row>
    <row r="150" spans="1:20">
      <c r="A150" s="74" t="s">
        <v>61</v>
      </c>
      <c r="B150" s="74">
        <v>30928</v>
      </c>
      <c r="C150" s="89">
        <v>30750</v>
      </c>
      <c r="D150" s="74">
        <v>30448</v>
      </c>
      <c r="E150" s="74">
        <v>29756</v>
      </c>
      <c r="F150" s="79">
        <v>47</v>
      </c>
      <c r="G150" s="79">
        <v>40</v>
      </c>
      <c r="H150" s="79">
        <v>26</v>
      </c>
      <c r="I150" s="76">
        <v>6.2661664182550045E-3</v>
      </c>
      <c r="J150" s="77">
        <v>97684.563700509578</v>
      </c>
      <c r="K150" s="77">
        <v>612.10773264203453</v>
      </c>
      <c r="L150" s="77">
        <v>97378.50983418856</v>
      </c>
      <c r="M150" s="77">
        <v>4497338.0398556925</v>
      </c>
      <c r="N150" s="78">
        <v>46.039393221267282</v>
      </c>
      <c r="O150" s="78"/>
      <c r="P150" s="78"/>
      <c r="Q150" s="78"/>
      <c r="R150" s="78"/>
      <c r="S150" s="78"/>
    </row>
    <row r="151" spans="1:20">
      <c r="A151" s="74" t="s">
        <v>62</v>
      </c>
      <c r="B151" s="74">
        <v>31377</v>
      </c>
      <c r="C151" s="89">
        <v>30809</v>
      </c>
      <c r="D151" s="74">
        <v>30739</v>
      </c>
      <c r="E151" s="74">
        <v>30321</v>
      </c>
      <c r="F151" s="79">
        <v>62</v>
      </c>
      <c r="G151" s="79">
        <v>56</v>
      </c>
      <c r="H151" s="79">
        <v>57</v>
      </c>
      <c r="I151" s="76">
        <v>9.1560786749326165E-3</v>
      </c>
      <c r="J151" s="77">
        <v>97072.455967867543</v>
      </c>
      <c r="K151" s="77">
        <v>888.80304401072499</v>
      </c>
      <c r="L151" s="77">
        <v>96628.054445862188</v>
      </c>
      <c r="M151" s="77">
        <v>4010445.49068475</v>
      </c>
      <c r="N151" s="78">
        <v>41.313938652301829</v>
      </c>
      <c r="O151" s="78"/>
      <c r="P151" s="78"/>
      <c r="Q151" s="78"/>
      <c r="R151" s="78"/>
      <c r="S151" s="78"/>
      <c r="T151" s="68" t="str">
        <f>T128</f>
        <v>1-πx</v>
      </c>
    </row>
    <row r="152" spans="1:20">
      <c r="A152" s="74" t="s">
        <v>64</v>
      </c>
      <c r="B152" s="74">
        <v>31132</v>
      </c>
      <c r="C152" s="89">
        <v>31243</v>
      </c>
      <c r="D152" s="74">
        <v>30829</v>
      </c>
      <c r="E152" s="74">
        <v>30746</v>
      </c>
      <c r="F152" s="79">
        <v>85</v>
      </c>
      <c r="G152" s="79">
        <v>79</v>
      </c>
      <c r="H152" s="79">
        <v>84</v>
      </c>
      <c r="I152" s="76">
        <v>1.3219079359800243E-2</v>
      </c>
      <c r="J152" s="77">
        <v>96183.652923856818</v>
      </c>
      <c r="K152" s="77">
        <v>1271.459341115944</v>
      </c>
      <c r="L152" s="77">
        <v>95547.923253298854</v>
      </c>
      <c r="M152" s="77">
        <v>3527305.218455439</v>
      </c>
      <c r="N152" s="78">
        <v>36.672606115800235</v>
      </c>
      <c r="O152" s="78"/>
      <c r="P152" s="78"/>
      <c r="Q152" s="78"/>
      <c r="R152" s="78"/>
      <c r="S152" s="78" t="str">
        <f>S129</f>
        <v>45-54</v>
      </c>
      <c r="T152" s="104">
        <f>'nový výpočet'!R34</f>
        <v>0.72395013448789758</v>
      </c>
    </row>
    <row r="153" spans="1:20">
      <c r="A153" s="74" t="s">
        <v>66</v>
      </c>
      <c r="B153" s="74">
        <v>29700</v>
      </c>
      <c r="C153" s="89">
        <v>30143</v>
      </c>
      <c r="D153" s="74">
        <v>30431</v>
      </c>
      <c r="E153" s="74">
        <v>30469</v>
      </c>
      <c r="F153" s="79">
        <v>146</v>
      </c>
      <c r="G153" s="79">
        <v>125</v>
      </c>
      <c r="H153" s="79">
        <v>102</v>
      </c>
      <c r="I153" s="76">
        <v>2.0925553484252145E-2</v>
      </c>
      <c r="J153" s="77">
        <v>94912.193582740874</v>
      </c>
      <c r="K153" s="77">
        <v>1986.090183123335</v>
      </c>
      <c r="L153" s="77">
        <v>93919.148491179207</v>
      </c>
      <c r="M153" s="77">
        <v>3049565.6021889448</v>
      </c>
      <c r="N153" s="78">
        <v>32.130387962537696</v>
      </c>
      <c r="O153" s="96">
        <f>T152*L153*5</f>
        <v>339963.90090589004</v>
      </c>
      <c r="P153" s="96">
        <f>SUM(O153:O161)</f>
        <v>1164487.4619875138</v>
      </c>
      <c r="Q153" s="78"/>
      <c r="R153" s="78"/>
      <c r="S153" s="78" t="str">
        <f t="shared" ref="S153:S156" si="8">S130</f>
        <v>55-64</v>
      </c>
      <c r="T153" s="104">
        <f>'nový výpočet'!S34</f>
        <v>0.30599999999999999</v>
      </c>
    </row>
    <row r="154" spans="1:20">
      <c r="A154" s="74" t="s">
        <v>68</v>
      </c>
      <c r="B154" s="74">
        <v>24638</v>
      </c>
      <c r="C154" s="89">
        <v>25174</v>
      </c>
      <c r="D154" s="74">
        <v>26133</v>
      </c>
      <c r="E154" s="74">
        <v>27027</v>
      </c>
      <c r="F154" s="79">
        <v>182</v>
      </c>
      <c r="G154" s="79">
        <v>171</v>
      </c>
      <c r="H154" s="79">
        <v>180</v>
      </c>
      <c r="I154" s="76">
        <v>3.290524968144088E-2</v>
      </c>
      <c r="J154" s="77">
        <v>92926.103399617539</v>
      </c>
      <c r="K154" s="77">
        <v>3057.7566342878126</v>
      </c>
      <c r="L154" s="77">
        <v>91397.225082473626</v>
      </c>
      <c r="M154" s="77">
        <v>2579969.8597330488</v>
      </c>
      <c r="N154" s="78">
        <v>27.763672050663725</v>
      </c>
      <c r="O154" s="96">
        <f>T152*L154*5</f>
        <v>330835.16695138713</v>
      </c>
      <c r="P154" s="96">
        <f t="shared" ref="P154:P161" si="9">SUM(O154:O162)</f>
        <v>824523.56108162366</v>
      </c>
      <c r="Q154" s="78">
        <f>P154/J154</f>
        <v>8.8728950307521153</v>
      </c>
      <c r="R154" s="78" t="str">
        <f>R131</f>
        <v>AAI 4.2</v>
      </c>
      <c r="S154" s="78" t="str">
        <f t="shared" si="8"/>
        <v>65-74</v>
      </c>
      <c r="T154" s="104">
        <f>'nový výpočet'!T34</f>
        <v>0.2160582940042847</v>
      </c>
    </row>
    <row r="155" spans="1:20">
      <c r="A155" s="74" t="s">
        <v>71</v>
      </c>
      <c r="B155" s="74">
        <v>24862</v>
      </c>
      <c r="C155" s="89">
        <v>24715</v>
      </c>
      <c r="D155" s="74">
        <v>24034</v>
      </c>
      <c r="E155" s="74">
        <v>23676</v>
      </c>
      <c r="F155" s="79">
        <v>279</v>
      </c>
      <c r="G155" s="79">
        <v>238</v>
      </c>
      <c r="H155" s="79">
        <v>227</v>
      </c>
      <c r="I155" s="76">
        <v>5.0759342907785832E-2</v>
      </c>
      <c r="J155" s="77">
        <v>89868.346765329727</v>
      </c>
      <c r="K155" s="77">
        <v>4561.6582300171722</v>
      </c>
      <c r="L155" s="77">
        <v>87587.517650321141</v>
      </c>
      <c r="M155" s="77">
        <v>2122983.7343206806</v>
      </c>
      <c r="N155" s="78">
        <v>23.623264594644859</v>
      </c>
      <c r="O155" s="96">
        <f>T153*L155*5</f>
        <v>134008.90200499134</v>
      </c>
      <c r="P155" s="96">
        <f t="shared" si="9"/>
        <v>493688.39413023647</v>
      </c>
      <c r="Q155" s="78">
        <f t="shared" ref="Q155:Q161" si="10">P155/J155</f>
        <v>5.4934625137746087</v>
      </c>
      <c r="R155" s="97">
        <f>(AVERAGE(Q154:Q155)/AVERAGE(N154:N155))</f>
        <v>0.27957217305418641</v>
      </c>
      <c r="S155" s="78" t="str">
        <f t="shared" si="8"/>
        <v>75-84</v>
      </c>
      <c r="T155" s="104">
        <f>'nový výpočet'!U34</f>
        <v>0.15255289675830694</v>
      </c>
    </row>
    <row r="156" spans="1:20">
      <c r="A156" s="74" t="s">
        <v>72</v>
      </c>
      <c r="B156" s="74">
        <v>23610</v>
      </c>
      <c r="C156" s="89">
        <v>23303</v>
      </c>
      <c r="D156" s="74">
        <v>23459</v>
      </c>
      <c r="E156" s="74">
        <v>23666</v>
      </c>
      <c r="F156" s="79">
        <v>422</v>
      </c>
      <c r="G156" s="79">
        <v>350</v>
      </c>
      <c r="H156" s="79">
        <v>366</v>
      </c>
      <c r="I156" s="76">
        <v>7.6567072003576639E-2</v>
      </c>
      <c r="J156" s="77">
        <v>85306.688535312554</v>
      </c>
      <c r="K156" s="77">
        <v>6531.6833634699578</v>
      </c>
      <c r="L156" s="77">
        <v>82040.846853577576</v>
      </c>
      <c r="M156" s="77">
        <v>1685046.1460690747</v>
      </c>
      <c r="N156" s="78">
        <v>19.752802212824765</v>
      </c>
      <c r="O156" s="96">
        <f>T153*L156*5</f>
        <v>125522.49568597368</v>
      </c>
      <c r="P156" s="96">
        <f t="shared" si="9"/>
        <v>359679.49212524516</v>
      </c>
      <c r="Q156" s="78">
        <f t="shared" si="10"/>
        <v>4.2163105648668626</v>
      </c>
      <c r="R156" s="78"/>
      <c r="S156" s="78" t="str">
        <f t="shared" si="8"/>
        <v>85+</v>
      </c>
      <c r="T156" s="104">
        <f>'nový výpočet'!V35</f>
        <v>2.5000000000000001E-2</v>
      </c>
    </row>
    <row r="157" spans="1:20">
      <c r="A157" s="74" t="s">
        <v>73</v>
      </c>
      <c r="B157" s="74">
        <v>19985</v>
      </c>
      <c r="C157" s="89">
        <v>20503</v>
      </c>
      <c r="D157" s="74">
        <v>21021</v>
      </c>
      <c r="E157" s="74">
        <v>21230</v>
      </c>
      <c r="F157" s="79">
        <v>537</v>
      </c>
      <c r="G157" s="79">
        <v>493</v>
      </c>
      <c r="H157" s="79">
        <v>468</v>
      </c>
      <c r="I157" s="76">
        <v>0.11424898907895441</v>
      </c>
      <c r="J157" s="77">
        <v>78775.005171842597</v>
      </c>
      <c r="K157" s="77">
        <v>8999.9647055724199</v>
      </c>
      <c r="L157" s="77">
        <v>74275.022819056379</v>
      </c>
      <c r="M157" s="77">
        <v>1274841.9118011869</v>
      </c>
      <c r="N157" s="78">
        <v>16.18333009334879</v>
      </c>
      <c r="O157" s="96">
        <f>T154*L157*5</f>
        <v>80238.673587073194</v>
      </c>
      <c r="P157" s="96">
        <f t="shared" si="9"/>
        <v>234156.99643927143</v>
      </c>
      <c r="Q157" s="78">
        <f t="shared" si="10"/>
        <v>2.9724783378747235</v>
      </c>
      <c r="R157" s="78"/>
      <c r="S157" s="78"/>
    </row>
    <row r="158" spans="1:20">
      <c r="A158" s="74" t="s">
        <v>74</v>
      </c>
      <c r="B158" s="74">
        <v>14427</v>
      </c>
      <c r="C158" s="89">
        <v>14916</v>
      </c>
      <c r="D158" s="74">
        <v>15465</v>
      </c>
      <c r="E158" s="74">
        <v>16215</v>
      </c>
      <c r="F158" s="79">
        <v>617</v>
      </c>
      <c r="G158" s="79">
        <v>528</v>
      </c>
      <c r="H158" s="79">
        <v>542</v>
      </c>
      <c r="I158" s="76">
        <v>0.16659274600245788</v>
      </c>
      <c r="J158" s="77">
        <v>69775.040466270177</v>
      </c>
      <c r="K158" s="77">
        <v>11624.015593708566</v>
      </c>
      <c r="L158" s="77">
        <v>63963.032669415894</v>
      </c>
      <c r="M158" s="77">
        <v>903466.79770590505</v>
      </c>
      <c r="N158" s="78">
        <v>12.948280526510741</v>
      </c>
      <c r="O158" s="96">
        <f>T154*L158*5</f>
        <v>69098.718589471624</v>
      </c>
      <c r="P158" s="96">
        <f t="shared" si="9"/>
        <v>153918.32285219824</v>
      </c>
      <c r="Q158" s="78">
        <f t="shared" si="10"/>
        <v>2.2059223731529558</v>
      </c>
      <c r="R158" s="78"/>
      <c r="S158" s="78"/>
    </row>
    <row r="159" spans="1:20">
      <c r="A159" s="74" t="s">
        <v>75</v>
      </c>
      <c r="B159" s="74">
        <v>7588</v>
      </c>
      <c r="C159" s="89">
        <v>8311</v>
      </c>
      <c r="D159" s="74">
        <v>9101</v>
      </c>
      <c r="E159" s="74">
        <v>9788</v>
      </c>
      <c r="F159" s="79">
        <v>496</v>
      </c>
      <c r="G159" s="79">
        <v>492</v>
      </c>
      <c r="H159" s="79">
        <v>488</v>
      </c>
      <c r="I159" s="76">
        <v>0.24914018376571281</v>
      </c>
      <c r="J159" s="77">
        <v>58151.024872561611</v>
      </c>
      <c r="K159" s="77">
        <v>14487.757022914535</v>
      </c>
      <c r="L159" s="77">
        <v>50907.146361104344</v>
      </c>
      <c r="M159" s="77">
        <v>583651.63435882551</v>
      </c>
      <c r="N159" s="78">
        <v>10.036824555335048</v>
      </c>
      <c r="O159" s="96">
        <f>T155*L159*5</f>
        <v>38830.163215427863</v>
      </c>
      <c r="P159" s="96">
        <f t="shared" si="9"/>
        <v>84819.604262726614</v>
      </c>
      <c r="Q159" s="78">
        <f t="shared" si="10"/>
        <v>1.4586089316329229</v>
      </c>
      <c r="R159" s="78"/>
      <c r="S159" s="78"/>
    </row>
    <row r="160" spans="1:20">
      <c r="A160" s="74" t="s">
        <v>76</v>
      </c>
      <c r="B160" s="74">
        <v>4394</v>
      </c>
      <c r="C160" s="89">
        <v>4460</v>
      </c>
      <c r="D160" s="74">
        <v>4633</v>
      </c>
      <c r="E160" s="74">
        <v>4910</v>
      </c>
      <c r="F160" s="79">
        <v>464</v>
      </c>
      <c r="G160" s="79">
        <v>442</v>
      </c>
      <c r="H160" s="79">
        <v>415</v>
      </c>
      <c r="I160" s="76">
        <v>0.38744683971256783</v>
      </c>
      <c r="J160" s="77">
        <v>43663.267849647076</v>
      </c>
      <c r="K160" s="77">
        <v>16917.195139869131</v>
      </c>
      <c r="L160" s="77">
        <v>35204.670279712511</v>
      </c>
      <c r="M160" s="77">
        <v>329115.90255330381</v>
      </c>
      <c r="N160" s="78">
        <v>7.5375920942656611</v>
      </c>
      <c r="O160" s="96">
        <f>T155*L160*5</f>
        <v>26852.872152956097</v>
      </c>
      <c r="P160" s="96">
        <f t="shared" si="9"/>
        <v>45989.441047298751</v>
      </c>
      <c r="Q160" s="78">
        <f t="shared" si="10"/>
        <v>1.0532752886399106</v>
      </c>
      <c r="R160" s="78"/>
      <c r="S160" s="78"/>
    </row>
    <row r="161" spans="1:20">
      <c r="A161" s="74" t="s">
        <v>14</v>
      </c>
      <c r="B161" s="74">
        <v>3036</v>
      </c>
      <c r="C161" s="89">
        <v>3063</v>
      </c>
      <c r="D161" s="74">
        <v>3128</v>
      </c>
      <c r="E161" s="74">
        <v>3242</v>
      </c>
      <c r="F161" s="74">
        <v>605</v>
      </c>
      <c r="G161" s="74">
        <v>522</v>
      </c>
      <c r="H161" s="74">
        <v>503</v>
      </c>
      <c r="I161" s="76">
        <v>0.6079820962327489</v>
      </c>
      <c r="J161" s="77">
        <v>26746.072709777945</v>
      </c>
      <c r="K161" s="77">
        <v>26746.072709777945</v>
      </c>
      <c r="L161" s="77">
        <v>153092.55115474126</v>
      </c>
      <c r="M161" s="77">
        <v>153092.55115474126</v>
      </c>
      <c r="N161" s="78">
        <v>5.7239263803680984</v>
      </c>
      <c r="O161" s="96">
        <f>T156*L161*5</f>
        <v>19136.568894342658</v>
      </c>
      <c r="P161" s="96">
        <f t="shared" si="9"/>
        <v>19136.568894342658</v>
      </c>
      <c r="Q161" s="78">
        <f t="shared" si="10"/>
        <v>0.7154907975460123</v>
      </c>
      <c r="R161" s="78"/>
    </row>
    <row r="162" spans="1:20">
      <c r="A162" s="67"/>
      <c r="B162" s="85"/>
    </row>
    <row r="163" spans="1:20">
      <c r="S163" s="86"/>
    </row>
    <row r="164" spans="1:20">
      <c r="B164" s="149" t="s">
        <v>42</v>
      </c>
      <c r="C164" s="150"/>
      <c r="D164" s="150"/>
      <c r="E164" s="151"/>
      <c r="F164" s="149" t="s">
        <v>43</v>
      </c>
      <c r="G164" s="150"/>
      <c r="H164" s="151"/>
      <c r="I164" s="152" t="s">
        <v>44</v>
      </c>
      <c r="J164" s="153"/>
      <c r="K164" s="153"/>
      <c r="L164" s="153"/>
      <c r="M164" s="153"/>
      <c r="N164" s="154"/>
      <c r="O164" s="86"/>
      <c r="P164" s="86"/>
      <c r="Q164" s="86"/>
      <c r="R164" s="86"/>
      <c r="S164" s="88"/>
    </row>
    <row r="165" spans="1:20">
      <c r="A165" s="74" t="s">
        <v>29</v>
      </c>
      <c r="B165" s="69">
        <v>2021</v>
      </c>
      <c r="C165" s="69">
        <v>2022</v>
      </c>
      <c r="D165" s="69">
        <v>2023</v>
      </c>
      <c r="E165" s="69">
        <v>2024</v>
      </c>
      <c r="F165" s="69">
        <v>2022</v>
      </c>
      <c r="G165" s="69">
        <v>2023</v>
      </c>
      <c r="H165" s="69">
        <v>2024</v>
      </c>
      <c r="I165" s="70" t="s">
        <v>46</v>
      </c>
      <c r="J165" s="71" t="s">
        <v>47</v>
      </c>
      <c r="K165" s="71" t="s">
        <v>48</v>
      </c>
      <c r="L165" s="71" t="s">
        <v>49</v>
      </c>
      <c r="M165" s="71" t="s">
        <v>50</v>
      </c>
      <c r="N165" s="72" t="s">
        <v>51</v>
      </c>
      <c r="O165" s="88"/>
      <c r="P165" s="88"/>
      <c r="Q165" s="88"/>
      <c r="R165" s="88"/>
      <c r="S165" s="78"/>
    </row>
    <row r="166" spans="1:20">
      <c r="A166" s="74" t="s">
        <v>54</v>
      </c>
      <c r="B166" s="74">
        <v>4465</v>
      </c>
      <c r="C166" s="74">
        <v>4283</v>
      </c>
      <c r="D166" s="74">
        <v>4049</v>
      </c>
      <c r="E166" s="74">
        <v>4027</v>
      </c>
      <c r="F166" s="74">
        <v>40</v>
      </c>
      <c r="G166" s="74">
        <v>45</v>
      </c>
      <c r="H166" s="74">
        <v>51</v>
      </c>
      <c r="I166" s="76">
        <v>1.1004126547455296E-2</v>
      </c>
      <c r="J166" s="77">
        <v>100000</v>
      </c>
      <c r="K166" s="77">
        <v>1100.4126547455235</v>
      </c>
      <c r="L166" s="77">
        <v>99009.628610729036</v>
      </c>
      <c r="M166" s="77">
        <v>7362382.240323361</v>
      </c>
      <c r="N166" s="78">
        <v>73.623822403233603</v>
      </c>
      <c r="O166" s="78"/>
      <c r="P166" s="78"/>
      <c r="Q166" s="78"/>
      <c r="R166" s="78"/>
      <c r="S166" s="78"/>
    </row>
    <row r="167" spans="1:20">
      <c r="A167" s="74" t="s">
        <v>55</v>
      </c>
      <c r="B167" s="74">
        <v>18669</v>
      </c>
      <c r="C167" s="74">
        <v>18319</v>
      </c>
      <c r="D167" s="74">
        <v>17993</v>
      </c>
      <c r="E167" s="74">
        <v>17461</v>
      </c>
      <c r="F167" s="74">
        <v>7</v>
      </c>
      <c r="G167" s="74">
        <v>8</v>
      </c>
      <c r="H167" s="74">
        <v>7</v>
      </c>
      <c r="I167" s="76">
        <v>1.6170228404476213E-3</v>
      </c>
      <c r="J167" s="77">
        <v>98899.587345254477</v>
      </c>
      <c r="K167" s="77">
        <v>159.92289164812246</v>
      </c>
      <c r="L167" s="77">
        <v>98819.625899430423</v>
      </c>
      <c r="M167" s="77">
        <v>7263372.6117126318</v>
      </c>
      <c r="N167" s="78">
        <v>73.441889968220906</v>
      </c>
      <c r="O167" s="78"/>
      <c r="P167" s="78"/>
      <c r="Q167" s="78"/>
      <c r="R167" s="78"/>
      <c r="S167" s="78"/>
    </row>
    <row r="168" spans="1:20">
      <c r="A168" s="74" t="s">
        <v>56</v>
      </c>
      <c r="B168" s="74">
        <v>23491</v>
      </c>
      <c r="C168" s="74">
        <v>23535</v>
      </c>
      <c r="D168" s="74">
        <v>23623</v>
      </c>
      <c r="E168" s="74">
        <v>23683</v>
      </c>
      <c r="F168" s="79">
        <v>6</v>
      </c>
      <c r="G168" s="79">
        <v>3</v>
      </c>
      <c r="H168" s="79">
        <v>9</v>
      </c>
      <c r="I168" s="76">
        <v>5.9787137204809452E-4</v>
      </c>
      <c r="J168" s="77">
        <v>98739.664453606354</v>
      </c>
      <c r="K168" s="77">
        <v>59.033618662448134</v>
      </c>
      <c r="L168" s="77">
        <v>98710.14764427513</v>
      </c>
      <c r="M168" s="77">
        <v>6868094.1081149103</v>
      </c>
      <c r="N168" s="78">
        <v>69.557600242220204</v>
      </c>
      <c r="O168" s="78"/>
      <c r="P168" s="78"/>
      <c r="Q168" s="78"/>
      <c r="R168" s="78"/>
      <c r="S168" s="78"/>
    </row>
    <row r="169" spans="1:20">
      <c r="A169" s="74" t="s">
        <v>57</v>
      </c>
      <c r="B169" s="74">
        <v>23477</v>
      </c>
      <c r="C169" s="74">
        <v>23822</v>
      </c>
      <c r="D169" s="74">
        <v>23740</v>
      </c>
      <c r="E169" s="74">
        <v>23395</v>
      </c>
      <c r="F169" s="79">
        <v>6</v>
      </c>
      <c r="G169" s="79">
        <v>7</v>
      </c>
      <c r="H169" s="79">
        <v>6</v>
      </c>
      <c r="I169" s="76">
        <v>1.495796075135634E-3</v>
      </c>
      <c r="J169" s="77">
        <v>98680.630834943906</v>
      </c>
      <c r="K169" s="77">
        <v>147.60610029481177</v>
      </c>
      <c r="L169" s="77">
        <v>98606.827784796507</v>
      </c>
      <c r="M169" s="77">
        <v>6374543.369893535</v>
      </c>
      <c r="N169" s="78">
        <v>64.59771604577378</v>
      </c>
      <c r="O169" s="78"/>
      <c r="P169" s="78"/>
      <c r="Q169" s="78"/>
      <c r="R169" s="78"/>
      <c r="S169" s="78"/>
    </row>
    <row r="170" spans="1:20">
      <c r="A170" s="74" t="s">
        <v>58</v>
      </c>
      <c r="B170" s="74">
        <v>22351</v>
      </c>
      <c r="C170" s="74">
        <v>22495</v>
      </c>
      <c r="D170" s="74">
        <v>22790</v>
      </c>
      <c r="E170" s="74">
        <v>23183</v>
      </c>
      <c r="F170" s="79">
        <v>13</v>
      </c>
      <c r="G170" s="79">
        <v>12</v>
      </c>
      <c r="H170" s="79">
        <v>8</v>
      </c>
      <c r="I170" s="76">
        <v>2.2018550663985559E-3</v>
      </c>
      <c r="J170" s="77">
        <v>98533.024734649094</v>
      </c>
      <c r="K170" s="77">
        <v>216.95543971956067</v>
      </c>
      <c r="L170" s="77">
        <v>98424.547014789307</v>
      </c>
      <c r="M170" s="77">
        <v>5881509.2309695529</v>
      </c>
      <c r="N170" s="78">
        <v>59.690740711640032</v>
      </c>
      <c r="O170" s="78"/>
      <c r="P170" s="78"/>
      <c r="Q170" s="78"/>
      <c r="R170" s="78"/>
      <c r="S170" s="78"/>
    </row>
    <row r="171" spans="1:20">
      <c r="A171" s="74" t="s">
        <v>59</v>
      </c>
      <c r="B171" s="74">
        <v>22939</v>
      </c>
      <c r="C171" s="74">
        <v>22406</v>
      </c>
      <c r="D171" s="74">
        <v>21996</v>
      </c>
      <c r="E171" s="74">
        <v>21966</v>
      </c>
      <c r="F171" s="79">
        <v>12</v>
      </c>
      <c r="G171" s="79">
        <v>13</v>
      </c>
      <c r="H171" s="79">
        <v>15</v>
      </c>
      <c r="I171" s="76">
        <v>3.1061281767516321E-3</v>
      </c>
      <c r="J171" s="77">
        <v>98316.069294929533</v>
      </c>
      <c r="K171" s="77">
        <v>305.38231306444504</v>
      </c>
      <c r="L171" s="77">
        <v>98163.378138397311</v>
      </c>
      <c r="M171" s="77">
        <v>5389386.4958956065</v>
      </c>
      <c r="N171" s="78">
        <v>54.816944315872419</v>
      </c>
      <c r="O171" s="78"/>
      <c r="P171" s="78"/>
      <c r="Q171" s="78"/>
      <c r="R171" s="78"/>
      <c r="S171" s="78"/>
    </row>
    <row r="172" spans="1:20">
      <c r="A172" s="74" t="s">
        <v>60</v>
      </c>
      <c r="B172" s="74">
        <v>25071</v>
      </c>
      <c r="C172" s="74">
        <v>24283</v>
      </c>
      <c r="D172" s="74">
        <v>23714</v>
      </c>
      <c r="E172" s="74">
        <v>23288</v>
      </c>
      <c r="F172" s="79">
        <v>27</v>
      </c>
      <c r="G172" s="79">
        <v>20</v>
      </c>
      <c r="H172" s="79">
        <v>18</v>
      </c>
      <c r="I172" s="76">
        <v>4.582796123524106E-3</v>
      </c>
      <c r="J172" s="77">
        <v>98010.686981865088</v>
      </c>
      <c r="K172" s="77">
        <v>449.16299636442272</v>
      </c>
      <c r="L172" s="77">
        <v>97786.105483682884</v>
      </c>
      <c r="M172" s="77">
        <v>4898569.6052036202</v>
      </c>
      <c r="N172" s="78">
        <v>49.979953779020057</v>
      </c>
      <c r="O172" s="78"/>
      <c r="P172" s="78"/>
      <c r="Q172" s="78"/>
      <c r="R172" s="78"/>
      <c r="S172" s="78"/>
    </row>
    <row r="173" spans="1:20">
      <c r="A173" s="74" t="s">
        <v>61</v>
      </c>
      <c r="B173" s="74">
        <v>28675</v>
      </c>
      <c r="C173" s="74">
        <v>28219</v>
      </c>
      <c r="D173" s="74">
        <v>27634</v>
      </c>
      <c r="E173" s="74">
        <v>26865</v>
      </c>
      <c r="F173" s="79">
        <v>44</v>
      </c>
      <c r="G173" s="79">
        <v>38</v>
      </c>
      <c r="H173" s="79">
        <v>32</v>
      </c>
      <c r="I173" s="76">
        <v>6.326251241091839E-3</v>
      </c>
      <c r="J173" s="77">
        <v>97561.523985500666</v>
      </c>
      <c r="K173" s="77">
        <v>617.19871219608467</v>
      </c>
      <c r="L173" s="77">
        <v>97252.924629402623</v>
      </c>
      <c r="M173" s="77">
        <v>4409639.077785206</v>
      </c>
      <c r="N173" s="78">
        <v>45.198546492985848</v>
      </c>
      <c r="O173" s="78"/>
      <c r="P173" s="78"/>
      <c r="Q173" s="78"/>
      <c r="R173" s="78"/>
      <c r="S173" s="78"/>
    </row>
    <row r="174" spans="1:20">
      <c r="A174" s="74" t="s">
        <v>62</v>
      </c>
      <c r="B174" s="74">
        <v>30644</v>
      </c>
      <c r="C174" s="74">
        <v>30382</v>
      </c>
      <c r="D174" s="74">
        <v>29647</v>
      </c>
      <c r="E174" s="74">
        <v>29046</v>
      </c>
      <c r="F174" s="79">
        <v>53</v>
      </c>
      <c r="G174" s="79">
        <v>44</v>
      </c>
      <c r="H174" s="79">
        <v>57</v>
      </c>
      <c r="I174" s="76">
        <v>9.0108435042456931E-3</v>
      </c>
      <c r="J174" s="77">
        <v>96944.325273304581</v>
      </c>
      <c r="K174" s="77">
        <v>873.55014366244723</v>
      </c>
      <c r="L174" s="77">
        <v>96507.55020147335</v>
      </c>
      <c r="M174" s="77">
        <v>3923374.4546381929</v>
      </c>
      <c r="N174" s="78">
        <v>40.470387963168037</v>
      </c>
      <c r="O174" s="78"/>
      <c r="P174" s="78"/>
      <c r="Q174" s="78"/>
      <c r="R174" s="78"/>
      <c r="S174" s="78"/>
      <c r="T174" s="68" t="str">
        <f>T151</f>
        <v>1-πx</v>
      </c>
    </row>
    <row r="175" spans="1:20">
      <c r="A175" s="74" t="s">
        <v>64</v>
      </c>
      <c r="B175" s="74">
        <v>30933</v>
      </c>
      <c r="C175" s="74">
        <v>30524</v>
      </c>
      <c r="D175" s="74">
        <v>30563</v>
      </c>
      <c r="E175" s="74">
        <v>30197</v>
      </c>
      <c r="F175" s="79">
        <v>84</v>
      </c>
      <c r="G175" s="79">
        <v>98</v>
      </c>
      <c r="H175" s="79">
        <v>90</v>
      </c>
      <c r="I175" s="76">
        <v>1.4715780133517592E-2</v>
      </c>
      <c r="J175" s="77">
        <v>96070.775129642134</v>
      </c>
      <c r="K175" s="77">
        <v>1413.7564040644211</v>
      </c>
      <c r="L175" s="77">
        <v>95363.896927609923</v>
      </c>
      <c r="M175" s="77">
        <v>3440836.703630826</v>
      </c>
      <c r="N175" s="78">
        <v>35.815644237153386</v>
      </c>
      <c r="O175" s="78"/>
      <c r="P175" s="78"/>
      <c r="Q175" s="78"/>
      <c r="R175" s="78"/>
      <c r="S175" s="78" t="str">
        <f>S152</f>
        <v>45-54</v>
      </c>
      <c r="T175" s="104">
        <f>'nový výpočet'!R35</f>
        <v>0.55341789551569565</v>
      </c>
    </row>
    <row r="176" spans="1:20">
      <c r="A176" s="74" t="s">
        <v>66</v>
      </c>
      <c r="B176" s="74">
        <v>29689</v>
      </c>
      <c r="C176" s="74">
        <v>30262</v>
      </c>
      <c r="D176" s="74">
        <v>30541</v>
      </c>
      <c r="E176" s="74">
        <v>30551</v>
      </c>
      <c r="F176" s="79">
        <v>172</v>
      </c>
      <c r="G176" s="79">
        <v>156</v>
      </c>
      <c r="H176" s="79">
        <v>113</v>
      </c>
      <c r="I176" s="76">
        <v>2.3158030490084695E-2</v>
      </c>
      <c r="J176" s="77">
        <v>94657.018725577713</v>
      </c>
      <c r="K176" s="77">
        <v>2192.0701257474429</v>
      </c>
      <c r="L176" s="77">
        <v>93560.983662703991</v>
      </c>
      <c r="M176" s="77">
        <v>2964017.2189927762</v>
      </c>
      <c r="N176" s="78">
        <v>31.313232329721107</v>
      </c>
      <c r="O176" s="96">
        <f>T175*L176*5</f>
        <v>258891.61340496011</v>
      </c>
      <c r="P176" s="96">
        <f>SUM(O176:O184)</f>
        <v>1358535.0198878278</v>
      </c>
      <c r="Q176" s="78"/>
      <c r="R176" s="78"/>
      <c r="S176" s="78" t="str">
        <f t="shared" ref="S176:S179" si="11">S153</f>
        <v>55-64</v>
      </c>
      <c r="T176" s="104">
        <f>'nový výpočet'!S35</f>
        <v>0.52200000000000002</v>
      </c>
    </row>
    <row r="177" spans="1:20">
      <c r="A177" s="74" t="s">
        <v>68</v>
      </c>
      <c r="B177" s="74">
        <v>24229</v>
      </c>
      <c r="C177" s="74">
        <v>24774</v>
      </c>
      <c r="D177" s="74">
        <v>25740</v>
      </c>
      <c r="E177" s="74">
        <v>26872</v>
      </c>
      <c r="F177" s="79">
        <v>200</v>
      </c>
      <c r="G177" s="79">
        <v>182</v>
      </c>
      <c r="H177" s="79">
        <v>161</v>
      </c>
      <c r="I177" s="76">
        <v>3.5864089909812866E-2</v>
      </c>
      <c r="J177" s="77">
        <v>92464.94859983027</v>
      </c>
      <c r="K177" s="77">
        <v>3316.1712300905347</v>
      </c>
      <c r="L177" s="77">
        <v>90806.862984784995</v>
      </c>
      <c r="M177" s="77">
        <v>2496212.3006792562</v>
      </c>
      <c r="N177" s="78">
        <v>26.996308747029772</v>
      </c>
      <c r="O177" s="96">
        <f>T175*L177*5</f>
        <v>251270.71505710916</v>
      </c>
      <c r="P177" s="96">
        <f t="shared" ref="P177:P184" si="12">SUM(O177:O185)</f>
        <v>1099643.4064828679</v>
      </c>
      <c r="Q177" s="78">
        <f>P177/J177</f>
        <v>11.892543316515578</v>
      </c>
      <c r="R177" s="78" t="str">
        <f>R154</f>
        <v>AAI 4.2</v>
      </c>
      <c r="S177" s="78" t="str">
        <f t="shared" si="11"/>
        <v>65-74</v>
      </c>
      <c r="T177" s="104">
        <f>'nový výpočet'!T35</f>
        <v>0.40752785492330224</v>
      </c>
    </row>
    <row r="178" spans="1:20">
      <c r="A178" s="74" t="s">
        <v>71</v>
      </c>
      <c r="B178" s="74">
        <v>23927</v>
      </c>
      <c r="C178" s="74">
        <v>23795</v>
      </c>
      <c r="D178" s="74">
        <v>23247</v>
      </c>
      <c r="E178" s="74">
        <v>22934</v>
      </c>
      <c r="F178" s="79">
        <v>320</v>
      </c>
      <c r="G178" s="79">
        <v>274</v>
      </c>
      <c r="H178" s="79">
        <v>247</v>
      </c>
      <c r="I178" s="76">
        <v>5.8472313407202409E-2</v>
      </c>
      <c r="J178" s="77">
        <v>89148.777369739735</v>
      </c>
      <c r="K178" s="77">
        <v>5212.7352502323338</v>
      </c>
      <c r="L178" s="77">
        <v>86542.409744623568</v>
      </c>
      <c r="M178" s="77">
        <v>2042177.9857553313</v>
      </c>
      <c r="N178" s="78">
        <v>22.907526564111009</v>
      </c>
      <c r="O178" s="96">
        <f>T176*L178*5</f>
        <v>225875.68943346752</v>
      </c>
      <c r="P178" s="96">
        <f t="shared" si="12"/>
        <v>848372.69142575865</v>
      </c>
      <c r="Q178" s="78">
        <f t="shared" ref="Q178:Q184" si="13">P178/J178</f>
        <v>9.5163693373738454</v>
      </c>
      <c r="R178" s="97">
        <f>(AVERAGE(Q177:Q178)/AVERAGE(N177:N178))</f>
        <v>0.42900335255615096</v>
      </c>
      <c r="S178" s="78" t="str">
        <f t="shared" si="11"/>
        <v>75-84</v>
      </c>
      <c r="T178" s="104">
        <f>'nový výpočet'!U35</f>
        <v>0.31815891290878939</v>
      </c>
    </row>
    <row r="179" spans="1:20">
      <c r="A179" s="74" t="s">
        <v>72</v>
      </c>
      <c r="B179" s="74">
        <v>22617</v>
      </c>
      <c r="C179" s="74">
        <v>22108</v>
      </c>
      <c r="D179" s="74">
        <v>22162</v>
      </c>
      <c r="E179" s="74">
        <v>22483</v>
      </c>
      <c r="F179" s="79">
        <v>468</v>
      </c>
      <c r="G179" s="79">
        <v>424</v>
      </c>
      <c r="H179" s="79">
        <v>395</v>
      </c>
      <c r="I179" s="76">
        <v>9.0160803727343003E-2</v>
      </c>
      <c r="J179" s="77">
        <v>83936.042119507401</v>
      </c>
      <c r="K179" s="77">
        <v>7567.7410191868985</v>
      </c>
      <c r="L179" s="77">
        <v>80152.171609913959</v>
      </c>
      <c r="M179" s="77">
        <v>1609465.9370322134</v>
      </c>
      <c r="N179" s="78">
        <v>19.174908613640252</v>
      </c>
      <c r="O179" s="96">
        <f>T176*L179*5</f>
        <v>209197.16790187545</v>
      </c>
      <c r="P179" s="96">
        <f t="shared" si="12"/>
        <v>622497.00199229107</v>
      </c>
      <c r="Q179" s="78">
        <f t="shared" si="13"/>
        <v>7.416325410078132</v>
      </c>
      <c r="R179" s="78"/>
      <c r="S179" s="78" t="str">
        <f t="shared" si="11"/>
        <v>85+</v>
      </c>
      <c r="T179" s="104">
        <f>'nový výpočet'!V35</f>
        <v>2.5000000000000001E-2</v>
      </c>
    </row>
    <row r="180" spans="1:20">
      <c r="A180" s="74" t="s">
        <v>73</v>
      </c>
      <c r="B180" s="74">
        <v>20174</v>
      </c>
      <c r="C180" s="74">
        <v>20443</v>
      </c>
      <c r="D180" s="74">
        <v>20454</v>
      </c>
      <c r="E180" s="74">
        <v>20316</v>
      </c>
      <c r="F180" s="79">
        <v>592</v>
      </c>
      <c r="G180" s="79">
        <v>560</v>
      </c>
      <c r="H180" s="79">
        <v>537</v>
      </c>
      <c r="I180" s="76">
        <v>0.12996118245939087</v>
      </c>
      <c r="J180" s="77">
        <v>76368.301100320503</v>
      </c>
      <c r="K180" s="77">
        <v>9924.9147134124505</v>
      </c>
      <c r="L180" s="77">
        <v>71405.84374361427</v>
      </c>
      <c r="M180" s="77">
        <v>1208705.0789826438</v>
      </c>
      <c r="N180" s="78">
        <v>15.827313971471483</v>
      </c>
      <c r="O180" s="96">
        <f>T177*L180*5</f>
        <v>145499.35164911812</v>
      </c>
      <c r="P180" s="96">
        <f t="shared" si="12"/>
        <v>413299.83409041568</v>
      </c>
      <c r="Q180" s="78">
        <f t="shared" si="13"/>
        <v>5.4119291399122291</v>
      </c>
      <c r="R180" s="78"/>
      <c r="S180" s="78"/>
    </row>
    <row r="181" spans="1:20">
      <c r="A181" s="74" t="s">
        <v>74</v>
      </c>
      <c r="B181" s="74">
        <v>14555</v>
      </c>
      <c r="C181" s="74">
        <v>15119</v>
      </c>
      <c r="D181" s="74">
        <v>15794</v>
      </c>
      <c r="E181" s="74">
        <v>16257</v>
      </c>
      <c r="F181" s="79">
        <v>675</v>
      </c>
      <c r="G181" s="79">
        <v>622</v>
      </c>
      <c r="H181" s="79">
        <v>601</v>
      </c>
      <c r="I181" s="76">
        <v>0.18553877522099024</v>
      </c>
      <c r="J181" s="77">
        <v>66443.386386908052</v>
      </c>
      <c r="K181" s="77">
        <v>12327.824531761937</v>
      </c>
      <c r="L181" s="77">
        <v>60279.474121027088</v>
      </c>
      <c r="M181" s="77">
        <v>851675.86026457255</v>
      </c>
      <c r="N181" s="78">
        <v>12.818068231880277</v>
      </c>
      <c r="O181" s="96">
        <f>T177*L181*5</f>
        <v>122827.82392223438</v>
      </c>
      <c r="P181" s="96">
        <f t="shared" si="12"/>
        <v>267800.48244129756</v>
      </c>
      <c r="Q181" s="78">
        <f t="shared" si="13"/>
        <v>4.0305062249817043</v>
      </c>
      <c r="R181" s="78"/>
      <c r="S181" s="78"/>
    </row>
    <row r="182" spans="1:20">
      <c r="A182" s="74" t="s">
        <v>75</v>
      </c>
      <c r="B182" s="74">
        <v>7499</v>
      </c>
      <c r="C182" s="74">
        <v>8150</v>
      </c>
      <c r="D182" s="74">
        <v>8786</v>
      </c>
      <c r="E182" s="74">
        <v>9588</v>
      </c>
      <c r="F182" s="79">
        <v>503</v>
      </c>
      <c r="G182" s="79">
        <v>513</v>
      </c>
      <c r="H182" s="79">
        <v>560</v>
      </c>
      <c r="I182" s="76">
        <v>0.26718830164261953</v>
      </c>
      <c r="J182" s="77">
        <v>54115.561855146116</v>
      </c>
      <c r="K182" s="77">
        <v>14459.045064512618</v>
      </c>
      <c r="L182" s="77">
        <v>46886.039322889803</v>
      </c>
      <c r="M182" s="77">
        <v>550278.48965943709</v>
      </c>
      <c r="N182" s="78">
        <v>10.168581287807665</v>
      </c>
      <c r="O182" s="96">
        <f>T178*L182*5</f>
        <v>74586.056507846864</v>
      </c>
      <c r="P182" s="96">
        <f t="shared" si="12"/>
        <v>144972.6585190632</v>
      </c>
      <c r="Q182" s="78">
        <f t="shared" si="13"/>
        <v>2.6789458253638556</v>
      </c>
      <c r="R182" s="78"/>
      <c r="S182" s="78"/>
    </row>
    <row r="183" spans="1:20">
      <c r="A183" s="74" t="s">
        <v>76</v>
      </c>
      <c r="B183" s="74">
        <v>4574</v>
      </c>
      <c r="C183" s="74">
        <v>4673</v>
      </c>
      <c r="D183" s="74">
        <v>4759</v>
      </c>
      <c r="E183" s="74">
        <v>4962</v>
      </c>
      <c r="F183" s="79">
        <v>474</v>
      </c>
      <c r="G183" s="79">
        <v>457</v>
      </c>
      <c r="H183" s="79">
        <v>428</v>
      </c>
      <c r="I183" s="76">
        <v>0.38613439409006955</v>
      </c>
      <c r="J183" s="77">
        <v>39656.516790633497</v>
      </c>
      <c r="K183" s="77">
        <v>15312.745082673937</v>
      </c>
      <c r="L183" s="77">
        <v>32000.144249296529</v>
      </c>
      <c r="M183" s="77">
        <v>315848.29304498807</v>
      </c>
      <c r="N183" s="78">
        <v>7.9645999852308895</v>
      </c>
      <c r="O183" s="96">
        <f>T178*L183*5</f>
        <v>50905.655536403166</v>
      </c>
      <c r="P183" s="96">
        <f t="shared" si="12"/>
        <v>70386.602011216339</v>
      </c>
      <c r="Q183" s="78">
        <f t="shared" si="13"/>
        <v>1.7749063131999783</v>
      </c>
      <c r="R183" s="78"/>
      <c r="S183" s="78"/>
    </row>
    <row r="184" spans="1:20">
      <c r="A184" s="74" t="s">
        <v>14</v>
      </c>
      <c r="B184" s="74">
        <v>3289</v>
      </c>
      <c r="C184" s="74">
        <v>3291</v>
      </c>
      <c r="D184" s="74">
        <v>3444</v>
      </c>
      <c r="E184" s="74">
        <v>3612</v>
      </c>
      <c r="F184" s="74">
        <v>593</v>
      </c>
      <c r="G184" s="74">
        <v>516</v>
      </c>
      <c r="H184" s="74">
        <v>482</v>
      </c>
      <c r="I184" s="76">
        <v>0.56167478641530744</v>
      </c>
      <c r="J184" s="77">
        <v>24343.77170795956</v>
      </c>
      <c r="K184" s="77">
        <v>24343.77170795956</v>
      </c>
      <c r="L184" s="77">
        <v>155847.57179850541</v>
      </c>
      <c r="M184" s="77">
        <v>155847.57179850541</v>
      </c>
      <c r="N184" s="78">
        <v>6.4019484600879952</v>
      </c>
      <c r="O184" s="96">
        <f>T179*L184*5</f>
        <v>19480.946474813176</v>
      </c>
      <c r="P184" s="96">
        <f t="shared" si="12"/>
        <v>19480.946474813176</v>
      </c>
      <c r="Q184" s="78">
        <f t="shared" si="13"/>
        <v>0.8002435575109994</v>
      </c>
      <c r="R184" s="78"/>
    </row>
    <row r="185" spans="1:20">
      <c r="A185" s="67"/>
      <c r="B185" s="85"/>
    </row>
    <row r="187" spans="1:20">
      <c r="A187" s="66" t="s">
        <v>78</v>
      </c>
    </row>
    <row r="188" spans="1:20">
      <c r="A188" s="66"/>
      <c r="S188" s="86"/>
    </row>
    <row r="189" spans="1:20">
      <c r="B189" s="149" t="s">
        <v>42</v>
      </c>
      <c r="C189" s="150"/>
      <c r="D189" s="150"/>
      <c r="E189" s="151"/>
      <c r="F189" s="149" t="s">
        <v>43</v>
      </c>
      <c r="G189" s="150"/>
      <c r="H189" s="151"/>
      <c r="I189" s="152" t="s">
        <v>44</v>
      </c>
      <c r="J189" s="153"/>
      <c r="K189" s="153"/>
      <c r="L189" s="153"/>
      <c r="M189" s="153"/>
      <c r="N189" s="154"/>
      <c r="O189" s="86"/>
      <c r="P189" s="86"/>
      <c r="Q189" s="86"/>
      <c r="R189" s="86"/>
      <c r="S189" s="88"/>
    </row>
    <row r="190" spans="1:20">
      <c r="A190" s="74" t="s">
        <v>22</v>
      </c>
      <c r="B190" s="69">
        <v>2021</v>
      </c>
      <c r="C190" s="69">
        <v>2022</v>
      </c>
      <c r="D190" s="69">
        <v>2023</v>
      </c>
      <c r="E190" s="69">
        <v>2024</v>
      </c>
      <c r="F190" s="69">
        <v>2022</v>
      </c>
      <c r="G190" s="69">
        <v>2023</v>
      </c>
      <c r="H190" s="69">
        <v>2024</v>
      </c>
      <c r="I190" s="70" t="s">
        <v>46</v>
      </c>
      <c r="J190" s="71" t="s">
        <v>47</v>
      </c>
      <c r="K190" s="71" t="s">
        <v>48</v>
      </c>
      <c r="L190" s="71" t="s">
        <v>49</v>
      </c>
      <c r="M190" s="71" t="s">
        <v>50</v>
      </c>
      <c r="N190" s="72" t="s">
        <v>51</v>
      </c>
      <c r="O190" s="88"/>
      <c r="P190" s="88"/>
      <c r="Q190" s="88"/>
      <c r="R190" s="88"/>
      <c r="S190" s="78"/>
    </row>
    <row r="191" spans="1:20">
      <c r="A191" s="74" t="s">
        <v>54</v>
      </c>
      <c r="B191" s="89">
        <v>4077</v>
      </c>
      <c r="C191" s="89">
        <v>3503</v>
      </c>
      <c r="D191" s="89">
        <v>3257</v>
      </c>
      <c r="E191" s="89">
        <v>3061</v>
      </c>
      <c r="F191" s="74">
        <v>6</v>
      </c>
      <c r="G191" s="74">
        <v>3</v>
      </c>
      <c r="H191" s="74">
        <v>7</v>
      </c>
      <c r="I191" s="76">
        <v>1.6291619997963547E-3</v>
      </c>
      <c r="J191" s="77">
        <v>100000</v>
      </c>
      <c r="K191" s="77">
        <v>162.91619997963426</v>
      </c>
      <c r="L191" s="77">
        <v>99853.375420018332</v>
      </c>
      <c r="M191" s="77">
        <v>8282883.9364746874</v>
      </c>
      <c r="N191" s="78">
        <v>82.828839364746869</v>
      </c>
      <c r="O191" s="78"/>
      <c r="P191" s="78"/>
      <c r="Q191" s="78"/>
      <c r="R191" s="78"/>
      <c r="S191" s="78"/>
    </row>
    <row r="192" spans="1:20">
      <c r="A192" s="74" t="s">
        <v>55</v>
      </c>
      <c r="B192" s="89">
        <v>17280</v>
      </c>
      <c r="C192" s="89">
        <v>16983</v>
      </c>
      <c r="D192" s="89">
        <v>16180</v>
      </c>
      <c r="E192" s="89">
        <v>15302</v>
      </c>
      <c r="F192" s="74">
        <v>0</v>
      </c>
      <c r="G192" s="74">
        <v>5</v>
      </c>
      <c r="H192" s="74">
        <v>1</v>
      </c>
      <c r="I192" s="76">
        <v>4.8518174099381394E-4</v>
      </c>
      <c r="J192" s="77">
        <v>99837.083800020366</v>
      </c>
      <c r="K192" s="77">
        <v>48.439130133832805</v>
      </c>
      <c r="L192" s="77">
        <v>99812.864234953449</v>
      </c>
      <c r="M192" s="77">
        <v>8183030.5610546693</v>
      </c>
      <c r="N192" s="78">
        <v>81.963837980742383</v>
      </c>
      <c r="O192" s="78"/>
      <c r="P192" s="78"/>
      <c r="Q192" s="78"/>
      <c r="R192" s="78"/>
      <c r="S192" s="78"/>
    </row>
    <row r="193" spans="1:20">
      <c r="A193" s="74" t="s">
        <v>56</v>
      </c>
      <c r="B193" s="89">
        <v>20875</v>
      </c>
      <c r="C193" s="89">
        <v>21301</v>
      </c>
      <c r="D193" s="89">
        <v>21761</v>
      </c>
      <c r="E193" s="89">
        <v>21812</v>
      </c>
      <c r="F193" s="79">
        <v>1</v>
      </c>
      <c r="G193" s="90" t="s">
        <v>54</v>
      </c>
      <c r="H193" s="90">
        <v>2</v>
      </c>
      <c r="I193" s="76">
        <v>3.0321275547556082E-4</v>
      </c>
      <c r="J193" s="77">
        <v>99788.644669886533</v>
      </c>
      <c r="K193" s="77">
        <v>30.257189915530034</v>
      </c>
      <c r="L193" s="77">
        <v>99773.516074928775</v>
      </c>
      <c r="M193" s="77">
        <v>7783779.1041148556</v>
      </c>
      <c r="N193" s="78">
        <v>78.002653807600879</v>
      </c>
      <c r="O193" s="78"/>
      <c r="P193" s="78"/>
      <c r="Q193" s="78"/>
      <c r="R193" s="78"/>
      <c r="S193" s="78"/>
    </row>
    <row r="194" spans="1:20">
      <c r="A194" s="74" t="s">
        <v>57</v>
      </c>
      <c r="B194" s="89">
        <v>17882</v>
      </c>
      <c r="C194" s="89">
        <v>18734</v>
      </c>
      <c r="D194" s="89">
        <v>19300</v>
      </c>
      <c r="E194" s="89">
        <v>19824</v>
      </c>
      <c r="F194" s="79">
        <v>4</v>
      </c>
      <c r="G194" s="90" t="s">
        <v>54</v>
      </c>
      <c r="H194" s="90">
        <v>4</v>
      </c>
      <c r="I194" s="76">
        <v>5.767164032815064E-4</v>
      </c>
      <c r="J194" s="77">
        <v>99758.387479971003</v>
      </c>
      <c r="K194" s="77">
        <v>57.532298424615874</v>
      </c>
      <c r="L194" s="77">
        <v>99729.621330758702</v>
      </c>
      <c r="M194" s="77">
        <v>7284911.5237402115</v>
      </c>
      <c r="N194" s="78">
        <v>73.025554118974114</v>
      </c>
      <c r="O194" s="78"/>
      <c r="P194" s="78"/>
      <c r="Q194" s="78"/>
      <c r="R194" s="78"/>
      <c r="S194" s="78"/>
    </row>
    <row r="195" spans="1:20">
      <c r="A195" s="74" t="s">
        <v>58</v>
      </c>
      <c r="B195" s="89">
        <v>13635</v>
      </c>
      <c r="C195" s="89">
        <v>14458</v>
      </c>
      <c r="D195" s="89">
        <v>15328</v>
      </c>
      <c r="E195" s="89">
        <v>16254</v>
      </c>
      <c r="F195" s="79">
        <v>3</v>
      </c>
      <c r="G195" s="79">
        <v>1</v>
      </c>
      <c r="H195" s="79">
        <v>3</v>
      </c>
      <c r="I195" s="76">
        <v>8.2646779694088102E-4</v>
      </c>
      <c r="J195" s="77">
        <v>99700.855181546387</v>
      </c>
      <c r="K195" s="77">
        <v>82.399546135013225</v>
      </c>
      <c r="L195" s="77">
        <v>99659.65540847888</v>
      </c>
      <c r="M195" s="77">
        <v>6786263.4170864178</v>
      </c>
      <c r="N195" s="78">
        <v>68.06625083334778</v>
      </c>
      <c r="O195" s="78"/>
      <c r="P195" s="78"/>
      <c r="Q195" s="78"/>
      <c r="R195" s="78"/>
      <c r="S195" s="78"/>
    </row>
    <row r="196" spans="1:20">
      <c r="A196" s="74" t="s">
        <v>59</v>
      </c>
      <c r="B196" s="89">
        <v>12375</v>
      </c>
      <c r="C196" s="89">
        <v>12255</v>
      </c>
      <c r="D196" s="89">
        <v>12363</v>
      </c>
      <c r="E196" s="89">
        <v>12741</v>
      </c>
      <c r="F196" s="79">
        <v>3</v>
      </c>
      <c r="G196" s="79">
        <v>1</v>
      </c>
      <c r="H196" s="79">
        <v>4</v>
      </c>
      <c r="I196" s="76">
        <v>1.1226180966863075E-3</v>
      </c>
      <c r="J196" s="77">
        <v>99618.455635411374</v>
      </c>
      <c r="K196" s="77">
        <v>111.83348106025369</v>
      </c>
      <c r="L196" s="77">
        <v>99562.538894881247</v>
      </c>
      <c r="M196" s="77">
        <v>6287965.1400440233</v>
      </c>
      <c r="N196" s="78">
        <v>63.120484050234964</v>
      </c>
      <c r="O196" s="78"/>
      <c r="P196" s="78"/>
      <c r="Q196" s="78"/>
      <c r="R196" s="78"/>
      <c r="S196" s="78"/>
    </row>
    <row r="197" spans="1:20">
      <c r="A197" s="74" t="s">
        <v>60</v>
      </c>
      <c r="B197" s="89">
        <v>18580</v>
      </c>
      <c r="C197" s="89">
        <v>17438</v>
      </c>
      <c r="D197" s="89">
        <v>16072</v>
      </c>
      <c r="E197" s="89">
        <v>15190</v>
      </c>
      <c r="F197" s="79">
        <v>9</v>
      </c>
      <c r="G197" s="79">
        <v>3</v>
      </c>
      <c r="H197" s="79">
        <v>4</v>
      </c>
      <c r="I197" s="76">
        <v>1.4223767037135644E-3</v>
      </c>
      <c r="J197" s="77">
        <v>99506.62215435112</v>
      </c>
      <c r="K197" s="77">
        <v>141.53590121757588</v>
      </c>
      <c r="L197" s="77">
        <v>99435.854203742332</v>
      </c>
      <c r="M197" s="77">
        <v>5790152.4455696167</v>
      </c>
      <c r="N197" s="78">
        <v>58.188614186783859</v>
      </c>
      <c r="O197" s="78"/>
      <c r="P197" s="78"/>
      <c r="Q197" s="78"/>
      <c r="R197" s="78"/>
      <c r="S197" s="78"/>
    </row>
    <row r="198" spans="1:20">
      <c r="A198" s="74" t="s">
        <v>61</v>
      </c>
      <c r="B198" s="89">
        <v>29377</v>
      </c>
      <c r="C198" s="89">
        <v>28422</v>
      </c>
      <c r="D198" s="89">
        <v>27428</v>
      </c>
      <c r="E198" s="89">
        <v>25733</v>
      </c>
      <c r="F198" s="79">
        <v>11</v>
      </c>
      <c r="G198" s="79">
        <v>9</v>
      </c>
      <c r="H198" s="79">
        <v>8</v>
      </c>
      <c r="I198" s="76">
        <v>1.8539330434998217E-3</v>
      </c>
      <c r="J198" s="77">
        <v>99365.086253133544</v>
      </c>
      <c r="K198" s="77">
        <v>184.2162167748902</v>
      </c>
      <c r="L198" s="77">
        <v>99272.978144746099</v>
      </c>
      <c r="M198" s="77">
        <v>5292973.1745509049</v>
      </c>
      <c r="N198" s="78">
        <v>53.267937201473394</v>
      </c>
      <c r="O198" s="78"/>
      <c r="P198" s="78"/>
      <c r="Q198" s="78"/>
      <c r="R198" s="78"/>
      <c r="S198" s="78"/>
    </row>
    <row r="199" spans="1:20">
      <c r="A199" s="74" t="s">
        <v>62</v>
      </c>
      <c r="B199" s="89">
        <v>34396</v>
      </c>
      <c r="C199" s="89">
        <v>34234</v>
      </c>
      <c r="D199" s="89">
        <v>33772</v>
      </c>
      <c r="E199" s="89">
        <v>33136</v>
      </c>
      <c r="F199" s="79">
        <v>26</v>
      </c>
      <c r="G199" s="79">
        <v>18</v>
      </c>
      <c r="H199" s="79">
        <v>16</v>
      </c>
      <c r="I199" s="76">
        <v>2.9172656574248928E-3</v>
      </c>
      <c r="J199" s="77">
        <v>99180.870036358654</v>
      </c>
      <c r="K199" s="77">
        <v>289.33694603058393</v>
      </c>
      <c r="L199" s="77">
        <v>99036.201563343362</v>
      </c>
      <c r="M199" s="77">
        <v>4796608.2838271745</v>
      </c>
      <c r="N199" s="78">
        <v>48.362232374739087</v>
      </c>
      <c r="O199" s="78"/>
      <c r="P199" s="78"/>
      <c r="Q199" s="78"/>
      <c r="R199" s="78"/>
      <c r="S199" s="78"/>
      <c r="T199" s="68" t="s">
        <v>79</v>
      </c>
    </row>
    <row r="200" spans="1:20">
      <c r="A200" s="74" t="s">
        <v>64</v>
      </c>
      <c r="B200" s="89">
        <v>34828</v>
      </c>
      <c r="C200" s="89">
        <v>34787</v>
      </c>
      <c r="D200" s="89">
        <v>34773</v>
      </c>
      <c r="E200" s="89">
        <v>34689</v>
      </c>
      <c r="F200" s="79">
        <v>35</v>
      </c>
      <c r="G200" s="79">
        <v>31</v>
      </c>
      <c r="H200" s="79">
        <v>30</v>
      </c>
      <c r="I200" s="76">
        <v>4.23127504695374E-3</v>
      </c>
      <c r="J200" s="77">
        <v>98891.53309032807</v>
      </c>
      <c r="K200" s="77">
        <v>418.43727632010996</v>
      </c>
      <c r="L200" s="77">
        <v>98682.314452168008</v>
      </c>
      <c r="M200" s="77">
        <v>4301427.2760104574</v>
      </c>
      <c r="N200" s="78">
        <v>43.496416139908661</v>
      </c>
      <c r="O200" s="78"/>
      <c r="P200" s="78"/>
      <c r="Q200" s="78"/>
      <c r="R200" s="78"/>
      <c r="S200" s="78" t="s">
        <v>67</v>
      </c>
      <c r="T200" s="104">
        <f>'nový výpočet'!R46</f>
        <v>0.62886321406981605</v>
      </c>
    </row>
    <row r="201" spans="1:20">
      <c r="A201" s="74" t="s">
        <v>66</v>
      </c>
      <c r="B201" s="89">
        <v>29231</v>
      </c>
      <c r="C201" s="89">
        <v>31038</v>
      </c>
      <c r="D201" s="89">
        <v>32440</v>
      </c>
      <c r="E201" s="89">
        <v>33743</v>
      </c>
      <c r="F201" s="79">
        <v>32</v>
      </c>
      <c r="G201" s="79">
        <v>45</v>
      </c>
      <c r="H201" s="79">
        <v>41</v>
      </c>
      <c r="I201" s="76">
        <v>6.8216130204570586E-3</v>
      </c>
      <c r="J201" s="77">
        <v>98473.09581400796</v>
      </c>
      <c r="K201" s="77">
        <v>671.7453525695455</v>
      </c>
      <c r="L201" s="77">
        <v>98137.223137723195</v>
      </c>
      <c r="M201" s="77">
        <v>3808015.7037496171</v>
      </c>
      <c r="N201" s="78">
        <v>38.670620358499185</v>
      </c>
      <c r="O201" s="96">
        <f>T200*L201*5</f>
        <v>308574.44781137665</v>
      </c>
      <c r="P201" s="96">
        <f>SUM(O201:O209)</f>
        <v>1727670.9923581691</v>
      </c>
      <c r="Q201" s="78"/>
      <c r="R201" s="78"/>
      <c r="S201" s="78" t="s">
        <v>70</v>
      </c>
      <c r="T201" s="104">
        <f>'nový výpočet'!S46</f>
        <v>0.74399999999999999</v>
      </c>
    </row>
    <row r="202" spans="1:20">
      <c r="A202" s="74" t="s">
        <v>68</v>
      </c>
      <c r="B202" s="89">
        <v>21415</v>
      </c>
      <c r="C202" s="89">
        <v>22403</v>
      </c>
      <c r="D202" s="89">
        <v>23882</v>
      </c>
      <c r="E202" s="89">
        <v>25571</v>
      </c>
      <c r="F202" s="79">
        <v>69</v>
      </c>
      <c r="G202" s="79">
        <v>52</v>
      </c>
      <c r="H202" s="79">
        <v>51</v>
      </c>
      <c r="I202" s="76">
        <v>1.1428720948873244E-2</v>
      </c>
      <c r="J202" s="77">
        <v>97801.350461438415</v>
      </c>
      <c r="K202" s="77">
        <v>1117.7443428467377</v>
      </c>
      <c r="L202" s="77">
        <v>97242.478290015046</v>
      </c>
      <c r="M202" s="77">
        <v>3317329.5880610012</v>
      </c>
      <c r="N202" s="78">
        <v>33.919057072417154</v>
      </c>
      <c r="O202" s="96">
        <f>T200*L202*5</f>
        <v>305761.08720786584</v>
      </c>
      <c r="P202" s="96">
        <f t="shared" ref="P202:P209" si="14">SUM(O202:O210)</f>
        <v>1419096.5445467925</v>
      </c>
      <c r="Q202" s="78">
        <f>P202/J202</f>
        <v>14.509989257319312</v>
      </c>
      <c r="R202" s="78" t="s">
        <v>69</v>
      </c>
      <c r="S202" s="78" t="s">
        <v>12</v>
      </c>
      <c r="T202" s="104">
        <f>'nový výpočet'!T46</f>
        <v>0.31808945182166315</v>
      </c>
    </row>
    <row r="203" spans="1:20">
      <c r="A203" s="74" t="s">
        <v>71</v>
      </c>
      <c r="B203" s="89">
        <v>21710</v>
      </c>
      <c r="C203" s="89">
        <v>21382</v>
      </c>
      <c r="D203" s="89">
        <v>20821</v>
      </c>
      <c r="E203" s="89">
        <v>20520</v>
      </c>
      <c r="F203" s="79">
        <v>90</v>
      </c>
      <c r="G203" s="79">
        <v>85</v>
      </c>
      <c r="H203" s="79">
        <v>65</v>
      </c>
      <c r="I203" s="76">
        <v>1.9658186552639217E-2</v>
      </c>
      <c r="J203" s="77">
        <v>96683.606118591677</v>
      </c>
      <c r="K203" s="77">
        <v>1900.6243656611623</v>
      </c>
      <c r="L203" s="77">
        <v>95733.293935761089</v>
      </c>
      <c r="M203" s="77">
        <v>2831117.1966109257</v>
      </c>
      <c r="N203" s="78">
        <v>29.282287972774725</v>
      </c>
      <c r="O203" s="96">
        <f>T201*L203*5</f>
        <v>356127.85344103124</v>
      </c>
      <c r="P203" s="96">
        <f t="shared" si="14"/>
        <v>1113335.4573389266</v>
      </c>
      <c r="Q203" s="78">
        <f t="shared" ref="Q203:Q209" si="15">P203/J203</f>
        <v>11.515245469571276</v>
      </c>
      <c r="R203" s="97">
        <f>(AVERAGE(Q202:Q203)/AVERAGE(N202:N203))</f>
        <v>0.41178292500391162</v>
      </c>
      <c r="S203" s="78" t="s">
        <v>13</v>
      </c>
      <c r="T203" s="104">
        <f>'nový výpočet'!U46</f>
        <v>0.13599583247339536</v>
      </c>
    </row>
    <row r="204" spans="1:20">
      <c r="A204" s="74" t="s">
        <v>72</v>
      </c>
      <c r="B204" s="89">
        <v>23025</v>
      </c>
      <c r="C204" s="89">
        <v>22116</v>
      </c>
      <c r="D204" s="89">
        <v>21828</v>
      </c>
      <c r="E204" s="89">
        <v>21854</v>
      </c>
      <c r="F204" s="79">
        <v>172</v>
      </c>
      <c r="G204" s="79">
        <v>145</v>
      </c>
      <c r="H204" s="79">
        <v>129</v>
      </c>
      <c r="I204" s="76">
        <v>3.180420841083019E-2</v>
      </c>
      <c r="J204" s="77">
        <v>94782.981752930515</v>
      </c>
      <c r="K204" s="77">
        <v>3014.4977054701158</v>
      </c>
      <c r="L204" s="77">
        <v>93275.732900195464</v>
      </c>
      <c r="M204" s="77">
        <v>2352450.72693212</v>
      </c>
      <c r="N204" s="78">
        <v>24.819336587914282</v>
      </c>
      <c r="O204" s="96">
        <f>T201*L204*5</f>
        <v>346985.72638872714</v>
      </c>
      <c r="P204" s="96">
        <f t="shared" si="14"/>
        <v>757207.60389789531</v>
      </c>
      <c r="Q204" s="78">
        <f t="shared" si="15"/>
        <v>7.9888561205185322</v>
      </c>
      <c r="R204" s="78"/>
      <c r="S204" s="78" t="s">
        <v>14</v>
      </c>
      <c r="T204" s="104">
        <f>'nový výpočet'!V46</f>
        <v>2.5000000000000001E-2</v>
      </c>
    </row>
    <row r="205" spans="1:20">
      <c r="A205" s="74" t="s">
        <v>73</v>
      </c>
      <c r="B205" s="89">
        <v>25322</v>
      </c>
      <c r="C205" s="89">
        <v>24947</v>
      </c>
      <c r="D205" s="89">
        <v>24445</v>
      </c>
      <c r="E205" s="89">
        <v>23628</v>
      </c>
      <c r="F205" s="79">
        <v>300</v>
      </c>
      <c r="G205" s="79">
        <v>241</v>
      </c>
      <c r="H205" s="79">
        <v>223</v>
      </c>
      <c r="I205" s="76">
        <v>5.0734906020504046E-2</v>
      </c>
      <c r="J205" s="77">
        <v>91768.484047460399</v>
      </c>
      <c r="K205" s="77">
        <v>4655.8654137920239</v>
      </c>
      <c r="L205" s="77">
        <v>89440.551340564387</v>
      </c>
      <c r="M205" s="77">
        <v>1886072.0624311427</v>
      </c>
      <c r="N205" s="78">
        <v>20.552503204212382</v>
      </c>
      <c r="O205" s="96">
        <f>T202*L205*5</f>
        <v>142250.47973273724</v>
      </c>
      <c r="P205" s="96">
        <f t="shared" si="14"/>
        <v>410221.87750916829</v>
      </c>
      <c r="Q205" s="78">
        <f t="shared" si="15"/>
        <v>4.4701825661303465</v>
      </c>
      <c r="R205" s="78"/>
      <c r="S205" s="78"/>
    </row>
    <row r="206" spans="1:20">
      <c r="A206" s="74" t="s">
        <v>74</v>
      </c>
      <c r="B206" s="89">
        <v>21010</v>
      </c>
      <c r="C206" s="89">
        <v>21957</v>
      </c>
      <c r="D206" s="89">
        <v>22680</v>
      </c>
      <c r="E206" s="89">
        <v>23374</v>
      </c>
      <c r="F206" s="79">
        <v>397</v>
      </c>
      <c r="G206" s="79">
        <v>386</v>
      </c>
      <c r="H206" s="79">
        <v>378</v>
      </c>
      <c r="I206" s="76">
        <v>8.1911676792914848E-2</v>
      </c>
      <c r="J206" s="77">
        <v>87112.618633668375</v>
      </c>
      <c r="K206" s="77">
        <v>7135.5406621055008</v>
      </c>
      <c r="L206" s="77">
        <v>83544.848302615632</v>
      </c>
      <c r="M206" s="77">
        <v>1438869.3057283207</v>
      </c>
      <c r="N206" s="78">
        <v>16.517346491202922</v>
      </c>
      <c r="O206" s="96">
        <f>T202*L206*5</f>
        <v>132873.67499551506</v>
      </c>
      <c r="P206" s="96">
        <f t="shared" si="14"/>
        <v>267971.39777643105</v>
      </c>
      <c r="Q206" s="78">
        <f t="shared" si="15"/>
        <v>3.0761490353460932</v>
      </c>
      <c r="R206" s="78"/>
      <c r="S206" s="78"/>
    </row>
    <row r="207" spans="1:20">
      <c r="A207" s="74" t="s">
        <v>75</v>
      </c>
      <c r="B207" s="89">
        <v>13638</v>
      </c>
      <c r="C207" s="89">
        <v>14521</v>
      </c>
      <c r="D207" s="89">
        <v>15528</v>
      </c>
      <c r="E207" s="89">
        <v>16351</v>
      </c>
      <c r="F207" s="79">
        <v>472</v>
      </c>
      <c r="G207" s="79">
        <v>455</v>
      </c>
      <c r="H207" s="79">
        <v>428</v>
      </c>
      <c r="I207" s="76">
        <v>0.1313996062742446</v>
      </c>
      <c r="J207" s="77">
        <v>79977.077971562874</v>
      </c>
      <c r="K207" s="77">
        <v>10508.956556427918</v>
      </c>
      <c r="L207" s="77">
        <v>74722.599693348922</v>
      </c>
      <c r="M207" s="77">
        <v>1021145.0642152426</v>
      </c>
      <c r="N207" s="78">
        <v>12.767971650306192</v>
      </c>
      <c r="O207" s="96">
        <f>T203*L207*5</f>
        <v>50809.810749366312</v>
      </c>
      <c r="P207" s="96">
        <f t="shared" si="14"/>
        <v>135097.722780916</v>
      </c>
      <c r="Q207" s="78">
        <f t="shared" si="15"/>
        <v>1.6892055349778115</v>
      </c>
      <c r="R207" s="78"/>
      <c r="S207" s="78"/>
    </row>
    <row r="208" spans="1:20">
      <c r="A208" s="74" t="s">
        <v>76</v>
      </c>
      <c r="B208" s="89">
        <v>8777</v>
      </c>
      <c r="C208" s="89">
        <v>9188</v>
      </c>
      <c r="D208" s="89">
        <v>9683</v>
      </c>
      <c r="E208" s="89">
        <v>10340</v>
      </c>
      <c r="F208" s="79">
        <v>567</v>
      </c>
      <c r="G208" s="79">
        <v>513</v>
      </c>
      <c r="H208" s="79">
        <v>527</v>
      </c>
      <c r="I208" s="76">
        <v>0.24763460412364782</v>
      </c>
      <c r="J208" s="77">
        <v>69468.121415134956</v>
      </c>
      <c r="K208" s="77">
        <v>17202.710745850447</v>
      </c>
      <c r="L208" s="77">
        <v>60866.766042209732</v>
      </c>
      <c r="M208" s="77">
        <v>647532.06574849796</v>
      </c>
      <c r="N208" s="78">
        <v>9.3212836702306561</v>
      </c>
      <c r="O208" s="96">
        <f>T203*L208*5</f>
        <v>41388.132589368528</v>
      </c>
      <c r="P208" s="96">
        <f t="shared" si="14"/>
        <v>84287.912031549698</v>
      </c>
      <c r="Q208" s="78">
        <f t="shared" si="15"/>
        <v>1.213332249591911</v>
      </c>
      <c r="R208" s="78"/>
      <c r="S208" s="78"/>
    </row>
    <row r="209" spans="1:20">
      <c r="A209" s="74" t="s">
        <v>14</v>
      </c>
      <c r="B209" s="89">
        <v>7982</v>
      </c>
      <c r="C209" s="89">
        <v>7981</v>
      </c>
      <c r="D209" s="89">
        <v>8145</v>
      </c>
      <c r="E209" s="89">
        <v>8384</v>
      </c>
      <c r="F209" s="74">
        <v>1325</v>
      </c>
      <c r="G209" s="74">
        <v>1179</v>
      </c>
      <c r="H209" s="74">
        <v>1198</v>
      </c>
      <c r="I209" s="76">
        <v>0.55148373257061134</v>
      </c>
      <c r="J209" s="77">
        <v>52265.410669284509</v>
      </c>
      <c r="K209" s="77">
        <v>52265.410669284509</v>
      </c>
      <c r="L209" s="77">
        <v>343198.23553744931</v>
      </c>
      <c r="M209" s="77">
        <v>343198.23553744931</v>
      </c>
      <c r="N209" s="78">
        <v>6.566450567260941</v>
      </c>
      <c r="O209" s="96">
        <f>T204*L209*5</f>
        <v>42899.779442181163</v>
      </c>
      <c r="P209" s="96">
        <f t="shared" si="14"/>
        <v>42899.779442181163</v>
      </c>
      <c r="Q209" s="78">
        <f t="shared" si="15"/>
        <v>0.82080632090761763</v>
      </c>
      <c r="R209" s="78"/>
    </row>
    <row r="210" spans="1:20">
      <c r="N210" s="78"/>
      <c r="O210" s="78"/>
      <c r="P210" s="78"/>
      <c r="Q210" s="78"/>
      <c r="R210" s="78"/>
      <c r="S210" s="78"/>
    </row>
    <row r="211" spans="1:20">
      <c r="N211" s="78"/>
      <c r="O211" s="78"/>
      <c r="P211" s="78"/>
      <c r="Q211" s="78"/>
      <c r="R211" s="78"/>
      <c r="S211" s="86"/>
    </row>
    <row r="212" spans="1:20">
      <c r="B212" s="149" t="s">
        <v>42</v>
      </c>
      <c r="C212" s="150"/>
      <c r="D212" s="150"/>
      <c r="E212" s="151"/>
      <c r="F212" s="149" t="s">
        <v>43</v>
      </c>
      <c r="G212" s="150"/>
      <c r="H212" s="151"/>
      <c r="I212" s="152" t="s">
        <v>44</v>
      </c>
      <c r="J212" s="153"/>
      <c r="K212" s="153"/>
      <c r="L212" s="153"/>
      <c r="M212" s="153"/>
      <c r="N212" s="154"/>
      <c r="O212" s="86"/>
      <c r="P212" s="86"/>
      <c r="Q212" s="86"/>
      <c r="R212" s="86"/>
      <c r="S212" s="88"/>
    </row>
    <row r="213" spans="1:20">
      <c r="A213" s="74" t="s">
        <v>23</v>
      </c>
      <c r="B213" s="69">
        <v>2021</v>
      </c>
      <c r="C213" s="69">
        <v>2022</v>
      </c>
      <c r="D213" s="69">
        <v>2023</v>
      </c>
      <c r="E213" s="69">
        <v>2024</v>
      </c>
      <c r="F213" s="69">
        <v>2022</v>
      </c>
      <c r="G213" s="69">
        <v>2023</v>
      </c>
      <c r="H213" s="69">
        <v>2024</v>
      </c>
      <c r="I213" s="70" t="s">
        <v>46</v>
      </c>
      <c r="J213" s="71" t="s">
        <v>47</v>
      </c>
      <c r="K213" s="71" t="s">
        <v>48</v>
      </c>
      <c r="L213" s="71" t="s">
        <v>49</v>
      </c>
      <c r="M213" s="71" t="s">
        <v>50</v>
      </c>
      <c r="N213" s="72" t="s">
        <v>51</v>
      </c>
      <c r="O213" s="88"/>
      <c r="P213" s="88"/>
      <c r="Q213" s="88"/>
      <c r="R213" s="88"/>
      <c r="S213" s="78"/>
    </row>
    <row r="214" spans="1:20">
      <c r="A214" s="74" t="s">
        <v>54</v>
      </c>
      <c r="B214" s="89">
        <v>2749</v>
      </c>
      <c r="C214" s="74">
        <v>2429</v>
      </c>
      <c r="D214" s="89">
        <v>2282</v>
      </c>
      <c r="E214" s="89">
        <v>2061</v>
      </c>
      <c r="F214" s="74">
        <v>6</v>
      </c>
      <c r="G214" s="74">
        <v>6</v>
      </c>
      <c r="H214" s="74">
        <v>4</v>
      </c>
      <c r="I214" s="76">
        <v>2.3626698168930892E-3</v>
      </c>
      <c r="J214" s="77">
        <v>100000</v>
      </c>
      <c r="K214" s="77">
        <v>236.26698168930307</v>
      </c>
      <c r="L214" s="77">
        <v>99787.359716479623</v>
      </c>
      <c r="M214" s="77">
        <v>8133770.1060611755</v>
      </c>
      <c r="N214" s="78">
        <v>81.337701060611749</v>
      </c>
      <c r="O214" s="78"/>
      <c r="P214" s="78"/>
      <c r="Q214" s="78"/>
      <c r="R214" s="78"/>
      <c r="S214" s="78"/>
    </row>
    <row r="215" spans="1:20">
      <c r="A215" s="74" t="s">
        <v>55</v>
      </c>
      <c r="B215" s="89">
        <v>11142</v>
      </c>
      <c r="C215" s="74">
        <v>11247</v>
      </c>
      <c r="D215" s="89">
        <v>10930</v>
      </c>
      <c r="E215" s="89">
        <v>10452</v>
      </c>
      <c r="F215" s="74">
        <v>0</v>
      </c>
      <c r="G215" s="74">
        <v>1</v>
      </c>
      <c r="H215" s="74">
        <v>1</v>
      </c>
      <c r="I215" s="76">
        <v>2.4258596640184366E-4</v>
      </c>
      <c r="J215" s="77">
        <v>99763.733018310697</v>
      </c>
      <c r="K215" s="77">
        <v>24.20128158609441</v>
      </c>
      <c r="L215" s="77">
        <v>99751.632377517642</v>
      </c>
      <c r="M215" s="77">
        <v>8033982.7463446958</v>
      </c>
      <c r="N215" s="78">
        <v>80.530093484674779</v>
      </c>
      <c r="O215" s="78"/>
      <c r="P215" s="78"/>
      <c r="Q215" s="78"/>
      <c r="R215" s="78"/>
      <c r="S215" s="78"/>
    </row>
    <row r="216" spans="1:20">
      <c r="A216" s="74" t="s">
        <v>56</v>
      </c>
      <c r="B216" s="89">
        <v>13846</v>
      </c>
      <c r="C216" s="74">
        <v>13984</v>
      </c>
      <c r="D216" s="89">
        <v>14142</v>
      </c>
      <c r="E216" s="89">
        <v>14224</v>
      </c>
      <c r="F216" s="90" t="s">
        <v>54</v>
      </c>
      <c r="G216" s="79">
        <v>2</v>
      </c>
      <c r="H216" s="79">
        <v>0</v>
      </c>
      <c r="I216" s="76">
        <v>2.9923200649431433E-4</v>
      </c>
      <c r="J216" s="77">
        <v>99739.531736724603</v>
      </c>
      <c r="K216" s="77">
        <v>29.845260208385298</v>
      </c>
      <c r="L216" s="77">
        <v>99724.60910662041</v>
      </c>
      <c r="M216" s="77">
        <v>7634976.2168346252</v>
      </c>
      <c r="N216" s="78">
        <v>76.549148405750813</v>
      </c>
      <c r="O216" s="78"/>
      <c r="P216" s="78"/>
      <c r="Q216" s="78"/>
      <c r="R216" s="78"/>
      <c r="S216" s="78"/>
    </row>
    <row r="217" spans="1:20">
      <c r="A217" s="74" t="s">
        <v>57</v>
      </c>
      <c r="B217" s="89">
        <v>13221</v>
      </c>
      <c r="C217" s="74">
        <v>13476</v>
      </c>
      <c r="D217" s="89">
        <v>13558</v>
      </c>
      <c r="E217" s="89">
        <v>13723</v>
      </c>
      <c r="F217" s="79">
        <v>4</v>
      </c>
      <c r="G217" s="79">
        <v>4</v>
      </c>
      <c r="H217" s="79">
        <v>1</v>
      </c>
      <c r="I217" s="76">
        <v>8.5767824721480902E-4</v>
      </c>
      <c r="J217" s="77">
        <v>99709.686476516217</v>
      </c>
      <c r="K217" s="77">
        <v>85.518829127511708</v>
      </c>
      <c r="L217" s="77">
        <v>99666.927061952461</v>
      </c>
      <c r="M217" s="77">
        <v>7136353.1713015232</v>
      </c>
      <c r="N217" s="78">
        <v>71.57131291333755</v>
      </c>
      <c r="O217" s="78"/>
      <c r="P217" s="78"/>
      <c r="Q217" s="78"/>
      <c r="R217" s="78"/>
      <c r="S217" s="78"/>
    </row>
    <row r="218" spans="1:20">
      <c r="A218" s="74" t="s">
        <v>58</v>
      </c>
      <c r="B218" s="89">
        <v>12094</v>
      </c>
      <c r="C218" s="74">
        <v>12283</v>
      </c>
      <c r="D218" s="89">
        <v>12685</v>
      </c>
      <c r="E218" s="89">
        <v>12960</v>
      </c>
      <c r="F218" s="90" t="s">
        <v>54</v>
      </c>
      <c r="G218" s="90" t="s">
        <v>54</v>
      </c>
      <c r="H218" s="90">
        <v>6</v>
      </c>
      <c r="I218" s="76">
        <v>8.4062569050409228E-4</v>
      </c>
      <c r="J218" s="77">
        <v>99624.167647388706</v>
      </c>
      <c r="K218" s="77">
        <v>83.746634719485883</v>
      </c>
      <c r="L218" s="77">
        <v>99582.294330028963</v>
      </c>
      <c r="M218" s="77">
        <v>6638018.5359917609</v>
      </c>
      <c r="N218" s="78">
        <v>66.630604729230612</v>
      </c>
      <c r="O218" s="78"/>
      <c r="P218" s="78"/>
      <c r="Q218" s="78"/>
      <c r="R218" s="78"/>
      <c r="S218" s="78"/>
    </row>
    <row r="219" spans="1:20">
      <c r="A219" s="74" t="s">
        <v>59</v>
      </c>
      <c r="B219" s="89">
        <v>13006</v>
      </c>
      <c r="C219" s="74">
        <v>12551</v>
      </c>
      <c r="D219" s="89">
        <v>12185</v>
      </c>
      <c r="E219" s="89">
        <v>11928</v>
      </c>
      <c r="F219" s="79">
        <v>1</v>
      </c>
      <c r="G219" s="79">
        <v>2</v>
      </c>
      <c r="H219" s="79">
        <v>2</v>
      </c>
      <c r="I219" s="76">
        <v>7.7276592272782787E-4</v>
      </c>
      <c r="J219" s="77">
        <v>99540.42101266922</v>
      </c>
      <c r="K219" s="77">
        <v>76.921445292566204</v>
      </c>
      <c r="L219" s="77">
        <v>99501.960290022937</v>
      </c>
      <c r="M219" s="77">
        <v>6140107.0643416159</v>
      </c>
      <c r="N219" s="78">
        <v>61.684559919232413</v>
      </c>
      <c r="O219" s="78"/>
      <c r="P219" s="78"/>
      <c r="Q219" s="78"/>
      <c r="R219" s="78"/>
      <c r="S219" s="78"/>
    </row>
    <row r="220" spans="1:20">
      <c r="A220" s="74" t="s">
        <v>60</v>
      </c>
      <c r="B220" s="89">
        <v>16213</v>
      </c>
      <c r="C220" s="74">
        <v>15506</v>
      </c>
      <c r="D220" s="89">
        <v>14743</v>
      </c>
      <c r="E220" s="89">
        <v>14243</v>
      </c>
      <c r="F220" s="79">
        <v>9</v>
      </c>
      <c r="G220" s="79">
        <v>1</v>
      </c>
      <c r="H220" s="79">
        <v>4</v>
      </c>
      <c r="I220" s="76">
        <v>1.6036024674045007E-3</v>
      </c>
      <c r="J220" s="77">
        <v>99463.499567376653</v>
      </c>
      <c r="K220" s="77">
        <v>159.49991332292848</v>
      </c>
      <c r="L220" s="77">
        <v>99383.749610715196</v>
      </c>
      <c r="M220" s="77">
        <v>5642597.2628915012</v>
      </c>
      <c r="N220" s="78">
        <v>56.730331100698919</v>
      </c>
      <c r="O220" s="78"/>
      <c r="P220" s="78"/>
      <c r="Q220" s="78"/>
      <c r="R220" s="78"/>
      <c r="S220" s="78"/>
    </row>
    <row r="221" spans="1:20">
      <c r="A221" s="74" t="s">
        <v>61</v>
      </c>
      <c r="B221" s="89">
        <v>19843</v>
      </c>
      <c r="C221" s="74">
        <v>19477</v>
      </c>
      <c r="D221" s="89">
        <v>19065</v>
      </c>
      <c r="E221" s="89">
        <v>18531</v>
      </c>
      <c r="F221" s="79">
        <v>8</v>
      </c>
      <c r="G221" s="79">
        <v>11</v>
      </c>
      <c r="H221" s="79">
        <v>14</v>
      </c>
      <c r="I221" s="76">
        <v>2.4812420008819866E-3</v>
      </c>
      <c r="J221" s="77">
        <v>99303.999654053725</v>
      </c>
      <c r="K221" s="77">
        <v>246.39725479720801</v>
      </c>
      <c r="L221" s="77">
        <v>99180.801026655128</v>
      </c>
      <c r="M221" s="77">
        <v>5145678.5148379253</v>
      </c>
      <c r="N221" s="78">
        <v>51.817434672963564</v>
      </c>
      <c r="O221" s="78"/>
      <c r="P221" s="78"/>
      <c r="Q221" s="78"/>
      <c r="R221" s="78"/>
      <c r="S221" s="78"/>
    </row>
    <row r="222" spans="1:20">
      <c r="A222" s="74" t="s">
        <v>62</v>
      </c>
      <c r="B222" s="89">
        <v>21900</v>
      </c>
      <c r="C222" s="74">
        <v>21548</v>
      </c>
      <c r="D222" s="89">
        <v>21298</v>
      </c>
      <c r="E222" s="89">
        <v>20739</v>
      </c>
      <c r="F222" s="79">
        <v>10</v>
      </c>
      <c r="G222" s="79">
        <v>11</v>
      </c>
      <c r="H222" s="79">
        <v>20</v>
      </c>
      <c r="I222" s="76">
        <v>3.7739846686707596E-3</v>
      </c>
      <c r="J222" s="77">
        <v>99057.602399256517</v>
      </c>
      <c r="K222" s="77">
        <v>373.84187277007732</v>
      </c>
      <c r="L222" s="77">
        <v>98870.681462871478</v>
      </c>
      <c r="M222" s="77">
        <v>4649774.5097046494</v>
      </c>
      <c r="N222" s="78">
        <v>46.940107544330679</v>
      </c>
      <c r="O222" s="78"/>
      <c r="P222" s="78"/>
      <c r="Q222" s="78"/>
      <c r="R222" s="78"/>
      <c r="S222" s="78"/>
      <c r="T222" s="68" t="s">
        <v>79</v>
      </c>
    </row>
    <row r="223" spans="1:20">
      <c r="A223" s="74" t="s">
        <v>64</v>
      </c>
      <c r="B223" s="89">
        <v>23644</v>
      </c>
      <c r="C223" s="74">
        <v>23320</v>
      </c>
      <c r="D223" s="89">
        <v>22804</v>
      </c>
      <c r="E223" s="89">
        <v>22483</v>
      </c>
      <c r="F223" s="79">
        <v>24</v>
      </c>
      <c r="G223" s="79">
        <v>34</v>
      </c>
      <c r="H223" s="79">
        <v>28</v>
      </c>
      <c r="I223" s="76">
        <v>5.343256914472674E-3</v>
      </c>
      <c r="J223" s="77">
        <v>98683.76052648644</v>
      </c>
      <c r="K223" s="77">
        <v>527.29268577932089</v>
      </c>
      <c r="L223" s="77">
        <v>98420.114183596772</v>
      </c>
      <c r="M223" s="77">
        <v>4155421.1023902916</v>
      </c>
      <c r="N223" s="78">
        <v>42.108459185389357</v>
      </c>
      <c r="O223" s="78"/>
      <c r="P223" s="78"/>
      <c r="Q223" s="78"/>
      <c r="R223" s="78"/>
      <c r="S223" s="78" t="s">
        <v>67</v>
      </c>
      <c r="T223" s="104">
        <f>'nový výpočet'!R47</f>
        <v>0.62387585392276612</v>
      </c>
    </row>
    <row r="224" spans="1:20">
      <c r="A224" s="74" t="s">
        <v>66</v>
      </c>
      <c r="B224" s="89">
        <v>23059</v>
      </c>
      <c r="C224" s="74">
        <v>23685</v>
      </c>
      <c r="D224" s="89">
        <v>24144</v>
      </c>
      <c r="E224" s="89">
        <v>24293</v>
      </c>
      <c r="F224" s="79">
        <v>39</v>
      </c>
      <c r="G224" s="79">
        <v>40</v>
      </c>
      <c r="H224" s="79">
        <v>30</v>
      </c>
      <c r="I224" s="76">
        <v>8.4285609885596784E-3</v>
      </c>
      <c r="J224" s="77">
        <v>98156.467840707119</v>
      </c>
      <c r="K224" s="77">
        <v>827.31777561700437</v>
      </c>
      <c r="L224" s="77">
        <v>97742.808952898617</v>
      </c>
      <c r="M224" s="77">
        <v>3663320.5314723076</v>
      </c>
      <c r="N224" s="78">
        <v>37.321234270749379</v>
      </c>
      <c r="O224" s="96">
        <f>T223*L224*5</f>
        <v>304896.89200149709</v>
      </c>
      <c r="P224" s="96">
        <f>SUM(O224:O232)</f>
        <v>1629961.3381629142</v>
      </c>
      <c r="Q224" s="78"/>
      <c r="R224" s="78"/>
      <c r="S224" s="78" t="s">
        <v>70</v>
      </c>
      <c r="T224" s="104">
        <f>'nový výpočet'!S47</f>
        <v>0.42899999999999999</v>
      </c>
    </row>
    <row r="225" spans="1:20">
      <c r="A225" s="74" t="s">
        <v>68</v>
      </c>
      <c r="B225" s="89">
        <v>18945</v>
      </c>
      <c r="C225" s="74">
        <v>19580</v>
      </c>
      <c r="D225" s="89">
        <v>20332</v>
      </c>
      <c r="E225" s="89">
        <v>21134</v>
      </c>
      <c r="F225" s="79">
        <v>55</v>
      </c>
      <c r="G225" s="79">
        <v>57</v>
      </c>
      <c r="H225" s="79">
        <v>66</v>
      </c>
      <c r="I225" s="76">
        <v>1.4435284579231711E-2</v>
      </c>
      <c r="J225" s="77">
        <v>97329.150065090114</v>
      </c>
      <c r="K225" s="77">
        <v>1404.9739790443273</v>
      </c>
      <c r="L225" s="77">
        <v>96626.663075567951</v>
      </c>
      <c r="M225" s="77">
        <v>3174606.4867078145</v>
      </c>
      <c r="N225" s="78">
        <v>32.61722191742922</v>
      </c>
      <c r="O225" s="96">
        <f>T223*L225*5</f>
        <v>301415.20968988683</v>
      </c>
      <c r="P225" s="96">
        <f t="shared" ref="P225:P232" si="16">SUM(O225:O233)</f>
        <v>1325064.4461614171</v>
      </c>
      <c r="Q225" s="78">
        <f>P225/J225</f>
        <v>13.614260941097948</v>
      </c>
      <c r="R225" s="78" t="str">
        <f>R202</f>
        <v>AAI 4.2</v>
      </c>
      <c r="S225" s="78" t="s">
        <v>12</v>
      </c>
      <c r="T225" s="104">
        <f>'nový výpočet'!T47</f>
        <v>0.40641004815345921</v>
      </c>
    </row>
    <row r="226" spans="1:20">
      <c r="A226" s="74" t="s">
        <v>71</v>
      </c>
      <c r="B226" s="89">
        <v>19341</v>
      </c>
      <c r="C226" s="74">
        <v>19085</v>
      </c>
      <c r="D226" s="89">
        <v>18846</v>
      </c>
      <c r="E226" s="89">
        <v>18672</v>
      </c>
      <c r="F226" s="79">
        <v>99</v>
      </c>
      <c r="G226" s="79">
        <v>80</v>
      </c>
      <c r="H226" s="79">
        <v>94</v>
      </c>
      <c r="I226" s="76">
        <v>2.3131787963308101E-2</v>
      </c>
      <c r="J226" s="77">
        <v>95924.176086045787</v>
      </c>
      <c r="K226" s="77">
        <v>2218.8977017774305</v>
      </c>
      <c r="L226" s="77">
        <v>94814.727235157072</v>
      </c>
      <c r="M226" s="77">
        <v>2691473.1713299747</v>
      </c>
      <c r="N226" s="78">
        <v>28.058340255283223</v>
      </c>
      <c r="O226" s="96">
        <f>T224*L226*5</f>
        <v>203377.58991941193</v>
      </c>
      <c r="P226" s="96">
        <f t="shared" si="16"/>
        <v>1023649.2364715305</v>
      </c>
      <c r="Q226" s="78">
        <f t="shared" ref="Q226:Q232" si="17">P226/J226</f>
        <v>10.671441530582426</v>
      </c>
      <c r="R226" s="97">
        <f>(AVERAGE(Q225:Q226)/AVERAGE(N225:N226))</f>
        <v>0.40025508791416448</v>
      </c>
      <c r="S226" s="78" t="s">
        <v>13</v>
      </c>
      <c r="T226" s="104">
        <f>'nový výpočet'!U47</f>
        <v>0.3850096206062868</v>
      </c>
    </row>
    <row r="227" spans="1:20">
      <c r="A227" s="74" t="s">
        <v>72</v>
      </c>
      <c r="B227" s="89">
        <v>19174</v>
      </c>
      <c r="C227" s="74">
        <v>18799</v>
      </c>
      <c r="D227" s="89">
        <v>18799</v>
      </c>
      <c r="E227" s="89">
        <v>18946</v>
      </c>
      <c r="F227" s="79">
        <v>147</v>
      </c>
      <c r="G227" s="79">
        <v>120</v>
      </c>
      <c r="H227" s="79">
        <v>133</v>
      </c>
      <c r="I227" s="76">
        <v>3.4777991595176951E-2</v>
      </c>
      <c r="J227" s="77">
        <v>93705.278384268357</v>
      </c>
      <c r="K227" s="77">
        <v>3258.8813840717921</v>
      </c>
      <c r="L227" s="77">
        <v>92075.837692232453</v>
      </c>
      <c r="M227" s="77">
        <v>2217399.5351541894</v>
      </c>
      <c r="N227" s="78">
        <v>23.66354994497787</v>
      </c>
      <c r="O227" s="96">
        <f>T224*L227*5</f>
        <v>197502.67184983863</v>
      </c>
      <c r="P227" s="96">
        <f t="shared" si="16"/>
        <v>820271.64655211847</v>
      </c>
      <c r="Q227" s="78">
        <f t="shared" si="17"/>
        <v>8.7537400314668847</v>
      </c>
      <c r="R227" s="78"/>
      <c r="S227" s="78" t="s">
        <v>14</v>
      </c>
      <c r="T227" s="104">
        <f>'nový výpočet'!V47</f>
        <v>2.5000000000000001E-2</v>
      </c>
    </row>
    <row r="228" spans="1:20">
      <c r="A228" s="74" t="s">
        <v>73</v>
      </c>
      <c r="B228" s="89">
        <v>20085</v>
      </c>
      <c r="C228" s="74">
        <v>20072</v>
      </c>
      <c r="D228" s="89">
        <v>19879</v>
      </c>
      <c r="E228" s="89">
        <v>19481</v>
      </c>
      <c r="F228" s="79">
        <v>244</v>
      </c>
      <c r="G228" s="79">
        <v>212</v>
      </c>
      <c r="H228" s="79">
        <v>228</v>
      </c>
      <c r="I228" s="76">
        <v>5.4830176803455082E-2</v>
      </c>
      <c r="J228" s="77">
        <v>90446.397000196564</v>
      </c>
      <c r="K228" s="77">
        <v>4959.1919387562666</v>
      </c>
      <c r="L228" s="77">
        <v>87966.801030818431</v>
      </c>
      <c r="M228" s="77">
        <v>1757020.3466930273</v>
      </c>
      <c r="N228" s="78">
        <v>19.426095510351935</v>
      </c>
      <c r="O228" s="96">
        <f>T225*L228*5</f>
        <v>178752.95921420344</v>
      </c>
      <c r="P228" s="96">
        <f t="shared" si="16"/>
        <v>622768.97470227978</v>
      </c>
      <c r="Q228" s="78">
        <f t="shared" si="17"/>
        <v>6.8855034070724379</v>
      </c>
      <c r="R228" s="78"/>
      <c r="S228" s="78"/>
    </row>
    <row r="229" spans="1:20">
      <c r="A229" s="74" t="s">
        <v>74</v>
      </c>
      <c r="B229" s="89">
        <v>16286</v>
      </c>
      <c r="C229" s="74">
        <v>17029</v>
      </c>
      <c r="D229" s="89">
        <v>17474</v>
      </c>
      <c r="E229" s="89">
        <v>18106</v>
      </c>
      <c r="F229" s="79">
        <v>334</v>
      </c>
      <c r="G229" s="79">
        <v>346</v>
      </c>
      <c r="H229" s="79">
        <v>335</v>
      </c>
      <c r="I229" s="76">
        <v>9.368254228239109E-2</v>
      </c>
      <c r="J229" s="77">
        <v>85487.205061440298</v>
      </c>
      <c r="K229" s="77">
        <v>8008.6587027718197</v>
      </c>
      <c r="L229" s="77">
        <v>81482.875710054388</v>
      </c>
      <c r="M229" s="77">
        <v>1317186.3415389352</v>
      </c>
      <c r="N229" s="78">
        <v>15.407993986845907</v>
      </c>
      <c r="O229" s="96">
        <f>T225*L229*5</f>
        <v>165577.29720502769</v>
      </c>
      <c r="P229" s="96">
        <f t="shared" si="16"/>
        <v>444016.01548807649</v>
      </c>
      <c r="Q229" s="78">
        <f t="shared" si="17"/>
        <v>5.1939470376760921</v>
      </c>
      <c r="R229" s="78"/>
      <c r="S229" s="78"/>
    </row>
    <row r="230" spans="1:20">
      <c r="A230" s="74" t="s">
        <v>75</v>
      </c>
      <c r="B230" s="89">
        <v>11029</v>
      </c>
      <c r="C230" s="74">
        <v>11419</v>
      </c>
      <c r="D230" s="89">
        <v>12145</v>
      </c>
      <c r="E230" s="89">
        <v>12646</v>
      </c>
      <c r="F230" s="79">
        <v>470</v>
      </c>
      <c r="G230" s="79">
        <v>409</v>
      </c>
      <c r="H230" s="79">
        <v>413</v>
      </c>
      <c r="I230" s="76">
        <v>0.16063023266363705</v>
      </c>
      <c r="J230" s="77">
        <v>77478.546358668478</v>
      </c>
      <c r="K230" s="77">
        <v>12445.396928033311</v>
      </c>
      <c r="L230" s="77">
        <v>71255.847894651815</v>
      </c>
      <c r="M230" s="77">
        <v>909771.96298866323</v>
      </c>
      <c r="N230" s="78">
        <v>11.742243572525103</v>
      </c>
      <c r="O230" s="96">
        <f>T226*L230*5</f>
        <v>137170.93481949586</v>
      </c>
      <c r="P230" s="96">
        <f t="shared" si="16"/>
        <v>278438.71828304877</v>
      </c>
      <c r="Q230" s="78">
        <f t="shared" si="17"/>
        <v>3.5937524820623641</v>
      </c>
      <c r="R230" s="78"/>
      <c r="S230" s="78"/>
    </row>
    <row r="231" spans="1:20">
      <c r="A231" s="74" t="s">
        <v>76</v>
      </c>
      <c r="B231" s="89">
        <v>7252</v>
      </c>
      <c r="C231" s="74">
        <v>7608</v>
      </c>
      <c r="D231" s="89">
        <v>7987</v>
      </c>
      <c r="E231" s="89">
        <v>8282</v>
      </c>
      <c r="F231" s="79">
        <v>573</v>
      </c>
      <c r="G231" s="79">
        <v>501</v>
      </c>
      <c r="H231" s="79">
        <v>542</v>
      </c>
      <c r="I231" s="76">
        <v>0.29486898766513386</v>
      </c>
      <c r="J231" s="77">
        <v>65033.149430635167</v>
      </c>
      <c r="K231" s="77">
        <v>19176.258937286766</v>
      </c>
      <c r="L231" s="77">
        <v>55445.019961991784</v>
      </c>
      <c r="M231" s="77">
        <v>553492.72351540416</v>
      </c>
      <c r="N231" s="78">
        <v>8.5109321686129249</v>
      </c>
      <c r="O231" s="96">
        <f>T226*L231*5</f>
        <v>106734.33050037228</v>
      </c>
      <c r="P231" s="96">
        <f t="shared" si="16"/>
        <v>141267.78346355291</v>
      </c>
      <c r="Q231" s="78">
        <f t="shared" si="17"/>
        <v>2.1722426900796212</v>
      </c>
      <c r="R231" s="78"/>
      <c r="S231" s="78"/>
    </row>
    <row r="232" spans="1:20">
      <c r="A232" s="74" t="s">
        <v>14</v>
      </c>
      <c r="B232" s="89">
        <v>5460</v>
      </c>
      <c r="C232" s="74">
        <v>5453</v>
      </c>
      <c r="D232" s="89">
        <v>5626</v>
      </c>
      <c r="E232" s="89">
        <v>5987</v>
      </c>
      <c r="F232" s="74">
        <v>1037</v>
      </c>
      <c r="G232" s="74">
        <v>871</v>
      </c>
      <c r="H232" s="74">
        <v>881</v>
      </c>
      <c r="I232" s="76">
        <v>0.58654048370136702</v>
      </c>
      <c r="J232" s="77">
        <v>45856.890493348401</v>
      </c>
      <c r="K232" s="77">
        <v>45856.890493348401</v>
      </c>
      <c r="L232" s="77">
        <v>276267.62370544515</v>
      </c>
      <c r="M232" s="77">
        <v>276267.62370544515</v>
      </c>
      <c r="N232" s="78">
        <v>6.0245607744711371</v>
      </c>
      <c r="O232" s="96">
        <f>T227*L232*5</f>
        <v>34533.452963180644</v>
      </c>
      <c r="P232" s="96">
        <f t="shared" si="16"/>
        <v>34533.452963180644</v>
      </c>
      <c r="Q232" s="78">
        <f t="shared" si="17"/>
        <v>0.75307009680889214</v>
      </c>
      <c r="R232" s="78"/>
    </row>
    <row r="233" spans="1:20">
      <c r="N233" s="78"/>
      <c r="O233" s="78"/>
      <c r="P233" s="78"/>
      <c r="Q233" s="78"/>
      <c r="R233" s="78"/>
      <c r="S233" s="78"/>
    </row>
    <row r="234" spans="1:20">
      <c r="N234" s="78"/>
      <c r="O234" s="78"/>
      <c r="P234" s="78"/>
      <c r="Q234" s="78"/>
      <c r="R234" s="78"/>
      <c r="S234" s="86"/>
    </row>
    <row r="235" spans="1:20">
      <c r="B235" s="149" t="s">
        <v>42</v>
      </c>
      <c r="C235" s="150"/>
      <c r="D235" s="150"/>
      <c r="E235" s="151"/>
      <c r="F235" s="149" t="s">
        <v>43</v>
      </c>
      <c r="G235" s="150"/>
      <c r="H235" s="151"/>
      <c r="I235" s="152" t="s">
        <v>44</v>
      </c>
      <c r="J235" s="153"/>
      <c r="K235" s="153"/>
      <c r="L235" s="153"/>
      <c r="M235" s="153"/>
      <c r="N235" s="154"/>
      <c r="O235" s="86"/>
      <c r="P235" s="86"/>
      <c r="Q235" s="86"/>
      <c r="R235" s="86"/>
      <c r="S235" s="88"/>
    </row>
    <row r="236" spans="1:20">
      <c r="A236" s="74" t="s">
        <v>24</v>
      </c>
      <c r="B236" s="69">
        <v>2021</v>
      </c>
      <c r="C236" s="69">
        <v>2022</v>
      </c>
      <c r="D236" s="69">
        <v>2023</v>
      </c>
      <c r="E236" s="69">
        <v>2024</v>
      </c>
      <c r="F236" s="69">
        <v>2022</v>
      </c>
      <c r="G236" s="69">
        <v>2023</v>
      </c>
      <c r="H236" s="69">
        <v>2024</v>
      </c>
      <c r="I236" s="70" t="s">
        <v>46</v>
      </c>
      <c r="J236" s="71" t="s">
        <v>47</v>
      </c>
      <c r="K236" s="71" t="s">
        <v>48</v>
      </c>
      <c r="L236" s="71" t="s">
        <v>49</v>
      </c>
      <c r="M236" s="71" t="s">
        <v>50</v>
      </c>
      <c r="N236" s="72" t="s">
        <v>51</v>
      </c>
      <c r="O236" s="88"/>
      <c r="P236" s="88"/>
      <c r="Q236" s="88"/>
      <c r="R236" s="88"/>
      <c r="S236" s="78"/>
    </row>
    <row r="237" spans="1:20">
      <c r="A237" s="74" t="s">
        <v>54</v>
      </c>
      <c r="B237" s="89">
        <v>2572</v>
      </c>
      <c r="C237" s="89">
        <v>2308</v>
      </c>
      <c r="D237" s="74">
        <v>2074</v>
      </c>
      <c r="E237" s="74">
        <v>1825</v>
      </c>
      <c r="F237" s="74">
        <v>4</v>
      </c>
      <c r="G237" s="74">
        <v>6</v>
      </c>
      <c r="H237" s="74">
        <v>10</v>
      </c>
      <c r="I237" s="76">
        <v>3.2221685194135652E-3</v>
      </c>
      <c r="J237" s="77">
        <v>100000</v>
      </c>
      <c r="K237" s="77">
        <v>322.21685194135353</v>
      </c>
      <c r="L237" s="77">
        <v>99710.00483325278</v>
      </c>
      <c r="M237" s="77">
        <v>8170406.0735831317</v>
      </c>
      <c r="N237" s="78">
        <v>81.70406073583132</v>
      </c>
      <c r="O237" s="78"/>
      <c r="P237" s="78"/>
      <c r="Q237" s="78"/>
      <c r="R237" s="78"/>
      <c r="S237" s="78"/>
    </row>
    <row r="238" spans="1:20">
      <c r="A238" s="74" t="s">
        <v>55</v>
      </c>
      <c r="B238" s="89">
        <v>10672</v>
      </c>
      <c r="C238" s="89">
        <v>10583</v>
      </c>
      <c r="D238" s="74">
        <v>10312</v>
      </c>
      <c r="E238" s="74">
        <v>9668</v>
      </c>
      <c r="F238" s="74">
        <v>4</v>
      </c>
      <c r="G238" s="74">
        <v>1</v>
      </c>
      <c r="H238" s="74">
        <v>2</v>
      </c>
      <c r="I238" s="76">
        <v>9.0092988834904587E-4</v>
      </c>
      <c r="J238" s="77">
        <v>99677.783148058646</v>
      </c>
      <c r="K238" s="77">
        <v>89.802694042460644</v>
      </c>
      <c r="L238" s="77">
        <v>99632.881801037409</v>
      </c>
      <c r="M238" s="77">
        <v>8070696.0687498786</v>
      </c>
      <c r="N238" s="78">
        <v>80.967852753726348</v>
      </c>
      <c r="O238" s="78"/>
      <c r="P238" s="78"/>
      <c r="Q238" s="78"/>
      <c r="R238" s="78"/>
      <c r="S238" s="78"/>
    </row>
    <row r="239" spans="1:20">
      <c r="A239" s="74" t="s">
        <v>56</v>
      </c>
      <c r="B239" s="89">
        <v>13448</v>
      </c>
      <c r="C239" s="89">
        <v>13534</v>
      </c>
      <c r="D239" s="74">
        <v>13446</v>
      </c>
      <c r="E239" s="74">
        <v>13580</v>
      </c>
      <c r="F239" s="79">
        <v>3</v>
      </c>
      <c r="G239" s="90" t="s">
        <v>54</v>
      </c>
      <c r="H239" s="90">
        <v>0</v>
      </c>
      <c r="I239" s="76">
        <v>2.3935617675796734E-4</v>
      </c>
      <c r="J239" s="77">
        <v>99587.980454016186</v>
      </c>
      <c r="K239" s="77">
        <v>23.836998252518242</v>
      </c>
      <c r="L239" s="77">
        <v>99576.061954889927</v>
      </c>
      <c r="M239" s="77">
        <v>7672164.5415457292</v>
      </c>
      <c r="N239" s="78">
        <v>77.039061406494525</v>
      </c>
      <c r="O239" s="78"/>
      <c r="P239" s="78"/>
      <c r="Q239" s="78"/>
      <c r="R239" s="78"/>
      <c r="S239" s="78"/>
    </row>
    <row r="240" spans="1:20">
      <c r="A240" s="74" t="s">
        <v>57</v>
      </c>
      <c r="B240" s="89">
        <v>13282</v>
      </c>
      <c r="C240" s="89">
        <v>13467</v>
      </c>
      <c r="D240" s="74">
        <v>13631</v>
      </c>
      <c r="E240" s="74">
        <v>13583</v>
      </c>
      <c r="F240" s="90" t="s">
        <v>54</v>
      </c>
      <c r="G240" s="79">
        <v>1</v>
      </c>
      <c r="H240" s="79">
        <v>1</v>
      </c>
      <c r="I240" s="76">
        <v>3.635575829036028E-4</v>
      </c>
      <c r="J240" s="77">
        <v>99564.143455763668</v>
      </c>
      <c r="K240" s="77">
        <v>36.19729933864437</v>
      </c>
      <c r="L240" s="77">
        <v>99546.044806094345</v>
      </c>
      <c r="M240" s="77">
        <v>7174284.2317712791</v>
      </c>
      <c r="N240" s="78">
        <v>72.056907062719944</v>
      </c>
      <c r="O240" s="78"/>
      <c r="P240" s="78"/>
      <c r="Q240" s="78"/>
      <c r="R240" s="78"/>
      <c r="S240" s="78"/>
    </row>
    <row r="241" spans="1:20">
      <c r="A241" s="74" t="s">
        <v>58</v>
      </c>
      <c r="B241" s="89">
        <v>11915</v>
      </c>
      <c r="C241" s="89">
        <v>12070</v>
      </c>
      <c r="D241" s="74">
        <v>12400</v>
      </c>
      <c r="E241" s="74">
        <v>12649</v>
      </c>
      <c r="F241" s="79">
        <v>2</v>
      </c>
      <c r="G241" s="79">
        <v>2</v>
      </c>
      <c r="H241" s="79">
        <v>3</v>
      </c>
      <c r="I241" s="76">
        <v>8.6135013630564688E-4</v>
      </c>
      <c r="J241" s="77">
        <v>99527.946156425023</v>
      </c>
      <c r="K241" s="77">
        <v>85.728409988048952</v>
      </c>
      <c r="L241" s="77">
        <v>99485.081951430999</v>
      </c>
      <c r="M241" s="77">
        <v>6676554.0077408077</v>
      </c>
      <c r="N241" s="78">
        <v>67.08220420069226</v>
      </c>
      <c r="O241" s="78"/>
      <c r="P241" s="78"/>
      <c r="Q241" s="78"/>
      <c r="R241" s="78"/>
      <c r="S241" s="78"/>
    </row>
    <row r="242" spans="1:20">
      <c r="A242" s="74" t="s">
        <v>59</v>
      </c>
      <c r="B242" s="89">
        <v>13120</v>
      </c>
      <c r="C242" s="89">
        <v>12668</v>
      </c>
      <c r="D242" s="74">
        <v>12306</v>
      </c>
      <c r="E242" s="74">
        <v>12087</v>
      </c>
      <c r="F242" s="79">
        <v>5</v>
      </c>
      <c r="G242" s="79">
        <v>4</v>
      </c>
      <c r="H242" s="79">
        <v>1</v>
      </c>
      <c r="I242" s="76">
        <v>1.2947094170762587E-3</v>
      </c>
      <c r="J242" s="77">
        <v>99442.217746436974</v>
      </c>
      <c r="K242" s="77">
        <v>128.74877577125153</v>
      </c>
      <c r="L242" s="77">
        <v>99377.843358551356</v>
      </c>
      <c r="M242" s="77">
        <v>6179128.5979836527</v>
      </c>
      <c r="N242" s="78">
        <v>62.137880047481659</v>
      </c>
      <c r="O242" s="78"/>
      <c r="P242" s="78"/>
      <c r="Q242" s="78"/>
      <c r="R242" s="78"/>
      <c r="S242" s="78"/>
    </row>
    <row r="243" spans="1:20">
      <c r="A243" s="74" t="s">
        <v>60</v>
      </c>
      <c r="B243" s="89">
        <v>16434</v>
      </c>
      <c r="C243" s="89">
        <v>15350</v>
      </c>
      <c r="D243" s="74">
        <v>14267</v>
      </c>
      <c r="E243" s="74">
        <v>13609</v>
      </c>
      <c r="F243" s="79">
        <v>4</v>
      </c>
      <c r="G243" s="79">
        <v>5</v>
      </c>
      <c r="H243" s="79">
        <v>4</v>
      </c>
      <c r="I243" s="76">
        <v>1.3606900634082467E-3</v>
      </c>
      <c r="J243" s="77">
        <v>99313.468970665723</v>
      </c>
      <c r="K243" s="77">
        <v>135.13485039098305</v>
      </c>
      <c r="L243" s="77">
        <v>99245.901545470231</v>
      </c>
      <c r="M243" s="77">
        <v>5682239.381190896</v>
      </c>
      <c r="N243" s="78">
        <v>57.215193871329397</v>
      </c>
      <c r="O243" s="78"/>
      <c r="P243" s="78"/>
      <c r="Q243" s="78"/>
      <c r="R243" s="78"/>
      <c r="S243" s="78"/>
    </row>
    <row r="244" spans="1:20">
      <c r="A244" s="74" t="s">
        <v>61</v>
      </c>
      <c r="B244" s="89">
        <v>19420</v>
      </c>
      <c r="C244" s="89">
        <v>18905</v>
      </c>
      <c r="D244" s="74">
        <v>18405</v>
      </c>
      <c r="E244" s="74">
        <v>17835</v>
      </c>
      <c r="F244" s="79">
        <v>2</v>
      </c>
      <c r="G244" s="79">
        <v>14</v>
      </c>
      <c r="H244" s="79">
        <v>5</v>
      </c>
      <c r="I244" s="76">
        <v>2.2688492701067016E-3</v>
      </c>
      <c r="J244" s="77">
        <v>99178.33412027474</v>
      </c>
      <c r="K244" s="77">
        <v>225.02069097918866</v>
      </c>
      <c r="L244" s="77">
        <v>99065.823774785153</v>
      </c>
      <c r="M244" s="77">
        <v>5186009.873463545</v>
      </c>
      <c r="N244" s="78">
        <v>52.289745733926217</v>
      </c>
      <c r="O244" s="78"/>
      <c r="P244" s="78"/>
      <c r="Q244" s="78"/>
      <c r="R244" s="78"/>
      <c r="S244" s="78"/>
    </row>
    <row r="245" spans="1:20">
      <c r="A245" s="74" t="s">
        <v>62</v>
      </c>
      <c r="B245" s="89">
        <v>20857</v>
      </c>
      <c r="C245" s="89">
        <v>20428</v>
      </c>
      <c r="D245" s="74">
        <v>20048</v>
      </c>
      <c r="E245" s="74">
        <v>19573</v>
      </c>
      <c r="F245" s="79">
        <v>23</v>
      </c>
      <c r="G245" s="79">
        <v>16</v>
      </c>
      <c r="H245" s="79">
        <v>15</v>
      </c>
      <c r="I245" s="76">
        <v>3.9890055920212553E-3</v>
      </c>
      <c r="J245" s="77">
        <v>98953.313429295551</v>
      </c>
      <c r="K245" s="77">
        <v>394.72532061849779</v>
      </c>
      <c r="L245" s="77">
        <v>98755.950768986309</v>
      </c>
      <c r="M245" s="77">
        <v>4690680.7545896191</v>
      </c>
      <c r="N245" s="78">
        <v>47.402968046554804</v>
      </c>
      <c r="O245" s="78"/>
      <c r="P245" s="78"/>
      <c r="Q245" s="78"/>
      <c r="R245" s="78"/>
      <c r="S245" s="78"/>
      <c r="T245" s="68" t="s">
        <v>79</v>
      </c>
    </row>
    <row r="246" spans="1:20">
      <c r="A246" s="74" t="s">
        <v>64</v>
      </c>
      <c r="B246" s="89">
        <v>22732</v>
      </c>
      <c r="C246" s="89">
        <v>22331</v>
      </c>
      <c r="D246" s="74">
        <v>21806</v>
      </c>
      <c r="E246" s="74">
        <v>21074</v>
      </c>
      <c r="F246" s="79">
        <v>30</v>
      </c>
      <c r="G246" s="79">
        <v>23</v>
      </c>
      <c r="H246" s="79">
        <v>22</v>
      </c>
      <c r="I246" s="76">
        <v>5.8051741329924961E-3</v>
      </c>
      <c r="J246" s="77">
        <v>98558.588108677053</v>
      </c>
      <c r="K246" s="77">
        <v>572.14976627276337</v>
      </c>
      <c r="L246" s="77">
        <v>98272.513225540664</v>
      </c>
      <c r="M246" s="77">
        <v>4196901.0007446874</v>
      </c>
      <c r="N246" s="78">
        <v>42.582803602228083</v>
      </c>
      <c r="O246" s="78"/>
      <c r="P246" s="78"/>
      <c r="Q246" s="78"/>
      <c r="R246" s="78"/>
      <c r="S246" s="78" t="s">
        <v>67</v>
      </c>
      <c r="T246" s="104">
        <f>'nový výpočet'!R48</f>
        <v>0.71292317694904639</v>
      </c>
    </row>
    <row r="247" spans="1:20">
      <c r="A247" s="74" t="s">
        <v>66</v>
      </c>
      <c r="B247" s="89">
        <v>22280</v>
      </c>
      <c r="C247" s="89">
        <v>22587</v>
      </c>
      <c r="D247" s="74">
        <v>22856</v>
      </c>
      <c r="E247" s="74">
        <v>23056</v>
      </c>
      <c r="F247" s="79">
        <v>48</v>
      </c>
      <c r="G247" s="79">
        <v>37</v>
      </c>
      <c r="H247" s="79">
        <v>27</v>
      </c>
      <c r="I247" s="76">
        <v>8.1977782446262318E-3</v>
      </c>
      <c r="J247" s="77">
        <v>97986.43834240429</v>
      </c>
      <c r="K247" s="77">
        <v>803.27109251177171</v>
      </c>
      <c r="L247" s="77">
        <v>97584.802796148404</v>
      </c>
      <c r="M247" s="77">
        <v>3705538.4346169843</v>
      </c>
      <c r="N247" s="78">
        <v>37.816849936603802</v>
      </c>
      <c r="O247" s="96">
        <f>T246*L247*5</f>
        <v>347852.33815688151</v>
      </c>
      <c r="P247" s="96">
        <f>SUM(O247:O255)</f>
        <v>1770993.4666426796</v>
      </c>
      <c r="Q247" s="78"/>
      <c r="R247" s="78"/>
      <c r="S247" s="78" t="s">
        <v>70</v>
      </c>
      <c r="T247" s="104">
        <f>'nový výpočet'!S48</f>
        <v>0.58799999999999997</v>
      </c>
    </row>
    <row r="248" spans="1:20">
      <c r="A248" s="74" t="s">
        <v>68</v>
      </c>
      <c r="B248" s="89">
        <v>19084</v>
      </c>
      <c r="C248" s="89">
        <v>19434</v>
      </c>
      <c r="D248" s="74">
        <v>19980</v>
      </c>
      <c r="E248" s="74">
        <v>20658</v>
      </c>
      <c r="F248" s="79">
        <v>47</v>
      </c>
      <c r="G248" s="79">
        <v>47</v>
      </c>
      <c r="H248" s="79">
        <v>58</v>
      </c>
      <c r="I248" s="76">
        <v>1.267693033234083E-2</v>
      </c>
      <c r="J248" s="77">
        <v>97183.167249892518</v>
      </c>
      <c r="K248" s="77">
        <v>1231.9842407031101</v>
      </c>
      <c r="L248" s="77">
        <v>96567.175129540963</v>
      </c>
      <c r="M248" s="77">
        <v>3217614.4206362423</v>
      </c>
      <c r="N248" s="78">
        <v>33.108762676592029</v>
      </c>
      <c r="O248" s="96">
        <f>T246*L248*5</f>
        <v>344224.88641173643</v>
      </c>
      <c r="P248" s="96">
        <f t="shared" ref="P248:P255" si="18">SUM(O248:O256)</f>
        <v>1423141.1284857979</v>
      </c>
      <c r="Q248" s="78">
        <f>P248/J248</f>
        <v>14.643905614090508</v>
      </c>
      <c r="R248" s="78" t="str">
        <f>R225</f>
        <v>AAI 4.2</v>
      </c>
      <c r="S248" s="78" t="s">
        <v>12</v>
      </c>
      <c r="T248" s="104">
        <f>'nový výpočet'!T48</f>
        <v>0.38346719787112837</v>
      </c>
    </row>
    <row r="249" spans="1:20">
      <c r="A249" s="74" t="s">
        <v>71</v>
      </c>
      <c r="B249" s="89">
        <v>20277</v>
      </c>
      <c r="C249" s="89">
        <v>19975</v>
      </c>
      <c r="D249" s="74">
        <v>19609</v>
      </c>
      <c r="E249" s="74">
        <v>19120</v>
      </c>
      <c r="F249" s="79">
        <v>99</v>
      </c>
      <c r="G249" s="79">
        <v>82</v>
      </c>
      <c r="H249" s="79">
        <v>58</v>
      </c>
      <c r="I249" s="76">
        <v>1.9633826939695044E-2</v>
      </c>
      <c r="J249" s="77">
        <v>95951.183009189408</v>
      </c>
      <c r="K249" s="77">
        <v>1883.8889218614349</v>
      </c>
      <c r="L249" s="77">
        <v>95009.238548258698</v>
      </c>
      <c r="M249" s="77">
        <v>2734778.5449885372</v>
      </c>
      <c r="N249" s="78">
        <v>28.501769954484281</v>
      </c>
      <c r="O249" s="96">
        <f>T247*L249*5</f>
        <v>279327.16133188055</v>
      </c>
      <c r="P249" s="96">
        <f t="shared" si="18"/>
        <v>1078916.2420740617</v>
      </c>
      <c r="Q249" s="78">
        <f t="shared" ref="Q249:Q255" si="19">P249/J249</f>
        <v>11.244428763017252</v>
      </c>
      <c r="R249" s="97">
        <f>(AVERAGE(Q248:Q249)/AVERAGE(N248:N249))</f>
        <v>0.42019332201081644</v>
      </c>
      <c r="S249" s="78" t="s">
        <v>13</v>
      </c>
      <c r="T249" s="104">
        <f>'nový výpočet'!U48</f>
        <v>0.25008008816859717</v>
      </c>
    </row>
    <row r="250" spans="1:20">
      <c r="A250" s="74" t="s">
        <v>72</v>
      </c>
      <c r="B250" s="89">
        <v>20648</v>
      </c>
      <c r="C250" s="89">
        <v>20220</v>
      </c>
      <c r="D250" s="74">
        <v>19924</v>
      </c>
      <c r="E250" s="74">
        <v>20076</v>
      </c>
      <c r="F250" s="79">
        <v>153</v>
      </c>
      <c r="G250" s="79">
        <v>120</v>
      </c>
      <c r="H250" s="79">
        <v>113</v>
      </c>
      <c r="I250" s="76">
        <v>3.155482511685432E-2</v>
      </c>
      <c r="J250" s="77">
        <v>94067.294087327973</v>
      </c>
      <c r="K250" s="77">
        <v>2968.2770141413494</v>
      </c>
      <c r="L250" s="77">
        <v>92583.155580257298</v>
      </c>
      <c r="M250" s="77">
        <v>2259732.3522472437</v>
      </c>
      <c r="N250" s="78">
        <v>24.022508292301964</v>
      </c>
      <c r="O250" s="96">
        <f>T247*L250*5</f>
        <v>272194.47740595648</v>
      </c>
      <c r="P250" s="96">
        <f t="shared" si="18"/>
        <v>799589.08074218105</v>
      </c>
      <c r="Q250" s="78">
        <f t="shared" si="19"/>
        <v>8.5001815827707077</v>
      </c>
      <c r="R250" s="78"/>
      <c r="S250" s="78" t="s">
        <v>14</v>
      </c>
      <c r="T250" s="104">
        <f>'nový výpočet'!V48</f>
        <v>2.5000000000000001E-2</v>
      </c>
    </row>
    <row r="251" spans="1:20">
      <c r="A251" s="74" t="s">
        <v>73</v>
      </c>
      <c r="B251" s="89">
        <v>21107</v>
      </c>
      <c r="C251" s="89">
        <v>21121</v>
      </c>
      <c r="D251" s="74">
        <v>21124</v>
      </c>
      <c r="E251" s="74">
        <v>20779</v>
      </c>
      <c r="F251" s="79">
        <v>253</v>
      </c>
      <c r="G251" s="79">
        <v>231</v>
      </c>
      <c r="H251" s="79">
        <v>206</v>
      </c>
      <c r="I251" s="76">
        <v>5.2558296645380399E-2</v>
      </c>
      <c r="J251" s="77">
        <v>91099.017073186624</v>
      </c>
      <c r="K251" s="77">
        <v>4788.009163435112</v>
      </c>
      <c r="L251" s="77">
        <v>88705.012491469068</v>
      </c>
      <c r="M251" s="77">
        <v>1796816.5743459575</v>
      </c>
      <c r="N251" s="78">
        <v>19.723775646255778</v>
      </c>
      <c r="O251" s="96">
        <f>T248*L251*5</f>
        <v>170077.31288613542</v>
      </c>
      <c r="P251" s="96">
        <f t="shared" si="18"/>
        <v>527394.60333622457</v>
      </c>
      <c r="Q251" s="78">
        <f t="shared" si="19"/>
        <v>5.7892458149414416</v>
      </c>
      <c r="R251" s="78"/>
      <c r="S251" s="78"/>
    </row>
    <row r="252" spans="1:20">
      <c r="A252" s="74" t="s">
        <v>74</v>
      </c>
      <c r="B252" s="89">
        <v>17305</v>
      </c>
      <c r="C252" s="89">
        <v>17929</v>
      </c>
      <c r="D252" s="74">
        <v>18447</v>
      </c>
      <c r="E252" s="74">
        <v>19020</v>
      </c>
      <c r="F252" s="79">
        <v>334</v>
      </c>
      <c r="G252" s="79">
        <v>359</v>
      </c>
      <c r="H252" s="79">
        <v>328</v>
      </c>
      <c r="I252" s="76">
        <v>8.7216098117586099E-2</v>
      </c>
      <c r="J252" s="77">
        <v>86311.007909751512</v>
      </c>
      <c r="K252" s="77">
        <v>7527.7093344846362</v>
      </c>
      <c r="L252" s="77">
        <v>82547.153242509201</v>
      </c>
      <c r="M252" s="77">
        <v>1353291.5118886123</v>
      </c>
      <c r="N252" s="78">
        <v>15.679245842009406</v>
      </c>
      <c r="O252" s="96">
        <f>T248*L252*5</f>
        <v>158270.62773071814</v>
      </c>
      <c r="P252" s="96">
        <f t="shared" si="18"/>
        <v>357317.29045008915</v>
      </c>
      <c r="Q252" s="78">
        <f t="shared" si="19"/>
        <v>4.139880869236368</v>
      </c>
      <c r="R252" s="78"/>
      <c r="S252" s="78"/>
    </row>
    <row r="253" spans="1:20">
      <c r="A253" s="74" t="s">
        <v>75</v>
      </c>
      <c r="B253" s="89">
        <v>11801</v>
      </c>
      <c r="C253" s="89">
        <v>12377</v>
      </c>
      <c r="D253" s="74">
        <v>13020</v>
      </c>
      <c r="E253" s="74">
        <v>13515</v>
      </c>
      <c r="F253" s="79">
        <v>461</v>
      </c>
      <c r="G253" s="79">
        <v>386</v>
      </c>
      <c r="H253" s="79">
        <v>413</v>
      </c>
      <c r="I253" s="76">
        <v>0.1494834238728856</v>
      </c>
      <c r="J253" s="77">
        <v>78783.298575266876</v>
      </c>
      <c r="K253" s="77">
        <v>11776.797215030718</v>
      </c>
      <c r="L253" s="77">
        <v>72894.899967751524</v>
      </c>
      <c r="M253" s="77">
        <v>940555.74567606626</v>
      </c>
      <c r="N253" s="78">
        <v>11.938516953279018</v>
      </c>
      <c r="O253" s="96">
        <f>T249*L253*5</f>
        <v>91147.815054881867</v>
      </c>
      <c r="P253" s="96">
        <f t="shared" si="18"/>
        <v>199046.662719371</v>
      </c>
      <c r="Q253" s="78">
        <f t="shared" si="19"/>
        <v>2.5265083630537331</v>
      </c>
      <c r="R253" s="78"/>
      <c r="S253" s="78"/>
    </row>
    <row r="254" spans="1:20">
      <c r="A254" s="74" t="s">
        <v>76</v>
      </c>
      <c r="B254" s="89">
        <v>8398</v>
      </c>
      <c r="C254" s="89">
        <v>8516</v>
      </c>
      <c r="D254" s="74">
        <v>8723</v>
      </c>
      <c r="E254" s="74">
        <v>8984</v>
      </c>
      <c r="F254" s="79">
        <v>637</v>
      </c>
      <c r="G254" s="79">
        <v>541</v>
      </c>
      <c r="H254" s="79">
        <v>561</v>
      </c>
      <c r="I254" s="76">
        <v>0.28717694657749149</v>
      </c>
      <c r="J254" s="77">
        <v>67006.501360236158</v>
      </c>
      <c r="K254" s="77">
        <v>19242.722461473153</v>
      </c>
      <c r="L254" s="77">
        <v>57385.140129499581</v>
      </c>
      <c r="M254" s="77">
        <v>576081.24583730858</v>
      </c>
      <c r="N254" s="78">
        <v>8.5973932997966376</v>
      </c>
      <c r="O254" s="96">
        <f>T249*L254*5</f>
        <v>71754.404515762799</v>
      </c>
      <c r="P254" s="96">
        <f t="shared" si="18"/>
        <v>107898.84766448913</v>
      </c>
      <c r="Q254" s="78">
        <f t="shared" si="19"/>
        <v>1.6102743088228126</v>
      </c>
      <c r="R254" s="78"/>
      <c r="S254" s="78"/>
    </row>
    <row r="255" spans="1:20">
      <c r="A255" s="74" t="s">
        <v>14</v>
      </c>
      <c r="B255" s="89">
        <v>6630</v>
      </c>
      <c r="C255" s="89">
        <v>6693</v>
      </c>
      <c r="D255" s="74">
        <v>6902</v>
      </c>
      <c r="E255" s="74">
        <v>7201</v>
      </c>
      <c r="F255" s="74">
        <v>1209</v>
      </c>
      <c r="G255" s="74">
        <v>1103</v>
      </c>
      <c r="H255" s="74">
        <v>1076</v>
      </c>
      <c r="I255" s="76">
        <v>0.58453097772640228</v>
      </c>
      <c r="J255" s="77">
        <v>47763.778898763005</v>
      </c>
      <c r="K255" s="77">
        <v>47763.778898763005</v>
      </c>
      <c r="L255" s="77">
        <v>289155.54518981068</v>
      </c>
      <c r="M255" s="77">
        <v>289155.54518981068</v>
      </c>
      <c r="N255" s="78">
        <v>6.0538665879574971</v>
      </c>
      <c r="O255" s="96">
        <f>T250*L255*5</f>
        <v>36144.443148726335</v>
      </c>
      <c r="P255" s="96">
        <f t="shared" si="18"/>
        <v>36144.443148726335</v>
      </c>
      <c r="Q255" s="78">
        <f t="shared" si="19"/>
        <v>0.75673332349468714</v>
      </c>
      <c r="R255" s="78"/>
    </row>
    <row r="256" spans="1:20">
      <c r="N256" s="78"/>
      <c r="O256" s="78"/>
      <c r="P256" s="78"/>
      <c r="Q256" s="78"/>
      <c r="R256" s="78"/>
      <c r="S256" s="78"/>
    </row>
    <row r="257" spans="1:20">
      <c r="N257" s="78"/>
      <c r="O257" s="78"/>
      <c r="P257" s="78"/>
      <c r="Q257" s="78"/>
      <c r="R257" s="78"/>
      <c r="S257" s="86"/>
    </row>
    <row r="258" spans="1:20">
      <c r="B258" s="149" t="s">
        <v>42</v>
      </c>
      <c r="C258" s="150"/>
      <c r="D258" s="150"/>
      <c r="E258" s="151"/>
      <c r="F258" s="149" t="s">
        <v>43</v>
      </c>
      <c r="G258" s="150"/>
      <c r="H258" s="151"/>
      <c r="I258" s="152" t="s">
        <v>44</v>
      </c>
      <c r="J258" s="153"/>
      <c r="K258" s="153"/>
      <c r="L258" s="153"/>
      <c r="M258" s="153"/>
      <c r="N258" s="154"/>
      <c r="O258" s="86"/>
      <c r="P258" s="86"/>
      <c r="Q258" s="86"/>
      <c r="R258" s="86"/>
      <c r="S258" s="88"/>
    </row>
    <row r="259" spans="1:20">
      <c r="A259" s="74" t="s">
        <v>25</v>
      </c>
      <c r="B259" s="69">
        <v>2021</v>
      </c>
      <c r="C259" s="69">
        <v>2022</v>
      </c>
      <c r="D259" s="69">
        <v>2023</v>
      </c>
      <c r="E259" s="69">
        <v>2024</v>
      </c>
      <c r="F259" s="69">
        <v>2022</v>
      </c>
      <c r="G259" s="69">
        <v>2023</v>
      </c>
      <c r="H259" s="69">
        <v>2024</v>
      </c>
      <c r="I259" s="70" t="s">
        <v>46</v>
      </c>
      <c r="J259" s="71" t="s">
        <v>47</v>
      </c>
      <c r="K259" s="71" t="s">
        <v>48</v>
      </c>
      <c r="L259" s="71" t="s">
        <v>49</v>
      </c>
      <c r="M259" s="71" t="s">
        <v>50</v>
      </c>
      <c r="N259" s="72" t="s">
        <v>51</v>
      </c>
      <c r="O259" s="88"/>
      <c r="P259" s="88"/>
      <c r="Q259" s="88"/>
      <c r="R259" s="88"/>
      <c r="S259" s="78"/>
    </row>
    <row r="260" spans="1:20">
      <c r="A260" s="74" t="s">
        <v>54</v>
      </c>
      <c r="B260" s="89">
        <v>2987</v>
      </c>
      <c r="C260" s="89">
        <v>2712</v>
      </c>
      <c r="D260" s="89">
        <v>2526</v>
      </c>
      <c r="E260" s="89">
        <v>2342</v>
      </c>
      <c r="F260" s="74">
        <v>6</v>
      </c>
      <c r="G260" s="74">
        <v>9</v>
      </c>
      <c r="H260" s="74">
        <v>4</v>
      </c>
      <c r="I260" s="76">
        <v>2.5065963060686017E-3</v>
      </c>
      <c r="J260" s="77">
        <v>100000</v>
      </c>
      <c r="K260" s="77">
        <v>250.65963060686772</v>
      </c>
      <c r="L260" s="77">
        <v>99774.406332453815</v>
      </c>
      <c r="M260" s="77">
        <v>8095395.4234001506</v>
      </c>
      <c r="N260" s="78">
        <v>80.9539542340015</v>
      </c>
      <c r="O260" s="78"/>
      <c r="P260" s="78"/>
      <c r="Q260" s="78"/>
      <c r="R260" s="78"/>
      <c r="S260" s="78"/>
    </row>
    <row r="261" spans="1:20">
      <c r="A261" s="74" t="s">
        <v>55</v>
      </c>
      <c r="B261" s="89">
        <v>12032</v>
      </c>
      <c r="C261" s="89">
        <v>11978</v>
      </c>
      <c r="D261" s="89">
        <v>11704</v>
      </c>
      <c r="E261" s="89">
        <v>11255</v>
      </c>
      <c r="F261" s="74">
        <v>2</v>
      </c>
      <c r="G261" s="74">
        <v>1</v>
      </c>
      <c r="H261" s="74">
        <v>0</v>
      </c>
      <c r="I261" s="76">
        <v>3.3964026435333907E-4</v>
      </c>
      <c r="J261" s="77">
        <v>99749.340369393132</v>
      </c>
      <c r="K261" s="77">
        <v>33.87889233212627</v>
      </c>
      <c r="L261" s="77">
        <v>99732.400923227076</v>
      </c>
      <c r="M261" s="77">
        <v>7995621.0170676969</v>
      </c>
      <c r="N261" s="78">
        <v>80.157131741004036</v>
      </c>
      <c r="O261" s="78"/>
      <c r="P261" s="78"/>
      <c r="Q261" s="78"/>
      <c r="R261" s="78"/>
      <c r="S261" s="78"/>
    </row>
    <row r="262" spans="1:20">
      <c r="A262" s="74" t="s">
        <v>56</v>
      </c>
      <c r="B262" s="89">
        <v>15172</v>
      </c>
      <c r="C262" s="89">
        <v>15293</v>
      </c>
      <c r="D262" s="89">
        <v>15446</v>
      </c>
      <c r="E262" s="89">
        <v>15448</v>
      </c>
      <c r="F262" s="79">
        <v>1</v>
      </c>
      <c r="G262" s="79">
        <v>1</v>
      </c>
      <c r="H262" s="79">
        <v>1</v>
      </c>
      <c r="I262" s="76">
        <v>7.9337362657283533E-5</v>
      </c>
      <c r="J262" s="77">
        <v>99715.461477061006</v>
      </c>
      <c r="K262" s="77">
        <v>7.9111617297457997</v>
      </c>
      <c r="L262" s="77">
        <v>99711.505896196133</v>
      </c>
      <c r="M262" s="77">
        <v>7596691.4133747881</v>
      </c>
      <c r="N262" s="78">
        <v>76.183686068808555</v>
      </c>
      <c r="O262" s="78"/>
      <c r="P262" s="78"/>
      <c r="Q262" s="78"/>
      <c r="R262" s="78"/>
      <c r="S262" s="78"/>
    </row>
    <row r="263" spans="1:20">
      <c r="A263" s="74" t="s">
        <v>57</v>
      </c>
      <c r="B263" s="89">
        <v>15406</v>
      </c>
      <c r="C263" s="89">
        <v>15458</v>
      </c>
      <c r="D263" s="89">
        <v>15271</v>
      </c>
      <c r="E263" s="89">
        <v>15181</v>
      </c>
      <c r="F263" s="79">
        <v>1</v>
      </c>
      <c r="G263" s="79">
        <v>1</v>
      </c>
      <c r="H263" s="79">
        <v>0</v>
      </c>
      <c r="I263" s="76">
        <v>3.8880909070114641E-4</v>
      </c>
      <c r="J263" s="77">
        <v>99707.55031533126</v>
      </c>
      <c r="K263" s="77">
        <v>38.767201974143973</v>
      </c>
      <c r="L263" s="77">
        <v>99688.166714344188</v>
      </c>
      <c r="M263" s="77">
        <v>7098133.8838938074</v>
      </c>
      <c r="N263" s="78">
        <v>71.189532401964769</v>
      </c>
      <c r="O263" s="78"/>
      <c r="P263" s="78"/>
      <c r="Q263" s="78"/>
      <c r="R263" s="78"/>
      <c r="S263" s="78"/>
    </row>
    <row r="264" spans="1:20">
      <c r="A264" s="74" t="s">
        <v>58</v>
      </c>
      <c r="B264" s="89">
        <v>14305</v>
      </c>
      <c r="C264" s="89">
        <v>14503</v>
      </c>
      <c r="D264" s="89">
        <v>14694</v>
      </c>
      <c r="E264" s="89">
        <v>15051</v>
      </c>
      <c r="F264" s="79">
        <v>2</v>
      </c>
      <c r="G264" s="79">
        <v>4</v>
      </c>
      <c r="H264" s="79">
        <v>4</v>
      </c>
      <c r="I264" s="76">
        <v>1.1094870699260276E-3</v>
      </c>
      <c r="J264" s="77">
        <v>99668.783113357116</v>
      </c>
      <c r="K264" s="77">
        <v>110.5812261395331</v>
      </c>
      <c r="L264" s="77">
        <v>99613.49250028735</v>
      </c>
      <c r="M264" s="77">
        <v>6599693.0503220866</v>
      </c>
      <c r="N264" s="78">
        <v>66.21624990460657</v>
      </c>
      <c r="O264" s="78"/>
      <c r="P264" s="78"/>
      <c r="Q264" s="78"/>
      <c r="R264" s="78"/>
      <c r="S264" s="78"/>
    </row>
    <row r="265" spans="1:20">
      <c r="A265" s="74" t="s">
        <v>59</v>
      </c>
      <c r="B265" s="89">
        <v>15730</v>
      </c>
      <c r="C265" s="89">
        <v>15101</v>
      </c>
      <c r="D265" s="89">
        <v>14721</v>
      </c>
      <c r="E265" s="89">
        <v>14317</v>
      </c>
      <c r="F265" s="79">
        <v>4</v>
      </c>
      <c r="G265" s="79">
        <v>8</v>
      </c>
      <c r="H265" s="79">
        <v>5</v>
      </c>
      <c r="I265" s="76">
        <v>1.6960928703920355E-3</v>
      </c>
      <c r="J265" s="77">
        <v>99558.201887217583</v>
      </c>
      <c r="K265" s="77">
        <v>168.85995640997135</v>
      </c>
      <c r="L265" s="77">
        <v>99473.771909012605</v>
      </c>
      <c r="M265" s="77">
        <v>6101625.5878206501</v>
      </c>
      <c r="N265" s="78">
        <v>61.287020779390417</v>
      </c>
      <c r="O265" s="78"/>
      <c r="P265" s="78"/>
      <c r="Q265" s="78"/>
      <c r="R265" s="78"/>
      <c r="S265" s="78"/>
    </row>
    <row r="266" spans="1:20">
      <c r="A266" s="74" t="s">
        <v>60</v>
      </c>
      <c r="B266" s="89">
        <v>19066</v>
      </c>
      <c r="C266" s="89">
        <v>18167</v>
      </c>
      <c r="D266" s="89">
        <v>17334</v>
      </c>
      <c r="E266" s="89">
        <v>16787</v>
      </c>
      <c r="F266" s="79">
        <v>8</v>
      </c>
      <c r="G266" s="79">
        <v>4</v>
      </c>
      <c r="H266" s="79">
        <v>6</v>
      </c>
      <c r="I266" s="76">
        <v>1.8024492224701458E-3</v>
      </c>
      <c r="J266" s="77">
        <v>99389.341930807612</v>
      </c>
      <c r="K266" s="77">
        <v>179.14424208500714</v>
      </c>
      <c r="L266" s="77">
        <v>99299.769809765101</v>
      </c>
      <c r="M266" s="77">
        <v>5604256.7282755869</v>
      </c>
      <c r="N266" s="78">
        <v>56.386898427973605</v>
      </c>
      <c r="O266" s="78"/>
      <c r="P266" s="78"/>
      <c r="Q266" s="78"/>
      <c r="R266" s="78"/>
      <c r="S266" s="78"/>
    </row>
    <row r="267" spans="1:20">
      <c r="A267" s="74" t="s">
        <v>61</v>
      </c>
      <c r="B267" s="89">
        <v>22699</v>
      </c>
      <c r="C267" s="89">
        <v>21982</v>
      </c>
      <c r="D267" s="89">
        <v>21223</v>
      </c>
      <c r="E267" s="89">
        <v>20523</v>
      </c>
      <c r="F267" s="79">
        <v>8</v>
      </c>
      <c r="G267" s="79">
        <v>10</v>
      </c>
      <c r="H267" s="79">
        <v>13</v>
      </c>
      <c r="I267" s="76">
        <v>2.5845127441772001E-3</v>
      </c>
      <c r="J267" s="77">
        <v>99210.197688722605</v>
      </c>
      <c r="K267" s="77">
        <v>256.41002027883951</v>
      </c>
      <c r="L267" s="77">
        <v>99081.992678583192</v>
      </c>
      <c r="M267" s="77">
        <v>5107757.8792267609</v>
      </c>
      <c r="N267" s="78">
        <v>51.48420221127499</v>
      </c>
      <c r="O267" s="78"/>
      <c r="P267" s="78"/>
      <c r="Q267" s="78"/>
      <c r="R267" s="78"/>
      <c r="S267" s="78"/>
    </row>
    <row r="268" spans="1:20">
      <c r="A268" s="74" t="s">
        <v>62</v>
      </c>
      <c r="B268" s="89">
        <v>24841</v>
      </c>
      <c r="C268" s="89">
        <v>24350</v>
      </c>
      <c r="D268" s="89">
        <v>23885</v>
      </c>
      <c r="E268" s="89">
        <v>23198</v>
      </c>
      <c r="F268" s="79">
        <v>18</v>
      </c>
      <c r="G268" s="79">
        <v>27</v>
      </c>
      <c r="H268" s="79">
        <v>17</v>
      </c>
      <c r="I268" s="76">
        <v>3.7272142432713683E-3</v>
      </c>
      <c r="J268" s="77">
        <v>98953.787668443765</v>
      </c>
      <c r="K268" s="77">
        <v>368.82196682348149</v>
      </c>
      <c r="L268" s="77">
        <v>98769.376685032024</v>
      </c>
      <c r="M268" s="77">
        <v>4612347.9158338448</v>
      </c>
      <c r="N268" s="78">
        <v>46.611130554072936</v>
      </c>
      <c r="O268" s="78"/>
      <c r="P268" s="78"/>
      <c r="Q268" s="78"/>
      <c r="R268" s="78"/>
      <c r="S268" s="78"/>
      <c r="T268" s="68" t="s">
        <v>79</v>
      </c>
    </row>
    <row r="269" spans="1:20">
      <c r="A269" s="74" t="s">
        <v>64</v>
      </c>
      <c r="B269" s="89">
        <v>27074</v>
      </c>
      <c r="C269" s="89">
        <v>26701</v>
      </c>
      <c r="D269" s="89">
        <v>26134</v>
      </c>
      <c r="E269" s="89">
        <v>25486</v>
      </c>
      <c r="F269" s="79">
        <v>25</v>
      </c>
      <c r="G269" s="79">
        <v>23</v>
      </c>
      <c r="H269" s="79">
        <v>31</v>
      </c>
      <c r="I269" s="76">
        <v>5.775347583896917E-3</v>
      </c>
      <c r="J269" s="77">
        <v>98584.965701620284</v>
      </c>
      <c r="K269" s="77">
        <v>569.36244347340835</v>
      </c>
      <c r="L269" s="77">
        <v>98300.284479883587</v>
      </c>
      <c r="M269" s="77">
        <v>4118501.032408685</v>
      </c>
      <c r="N269" s="78">
        <v>41.77615727811726</v>
      </c>
      <c r="O269" s="78"/>
      <c r="P269" s="78"/>
      <c r="Q269" s="78"/>
      <c r="R269" s="78"/>
      <c r="S269" s="78" t="s">
        <v>67</v>
      </c>
      <c r="T269" s="104">
        <f>'nový výpočet'!R49</f>
        <v>0.81373994995175392</v>
      </c>
    </row>
    <row r="270" spans="1:20">
      <c r="A270" s="74" t="s">
        <v>66</v>
      </c>
      <c r="B270" s="89">
        <v>27273</v>
      </c>
      <c r="C270" s="89">
        <v>27657</v>
      </c>
      <c r="D270" s="89">
        <v>27792</v>
      </c>
      <c r="E270" s="89">
        <v>27670</v>
      </c>
      <c r="F270" s="79">
        <v>60</v>
      </c>
      <c r="G270" s="79">
        <v>53</v>
      </c>
      <c r="H270" s="79">
        <v>48</v>
      </c>
      <c r="I270" s="76">
        <v>8.5015697267733885E-3</v>
      </c>
      <c r="J270" s="77">
        <v>98015.603258146875</v>
      </c>
      <c r="K270" s="77">
        <v>833.28648541089206</v>
      </c>
      <c r="L270" s="77">
        <v>97598.960015441437</v>
      </c>
      <c r="M270" s="77">
        <v>3626999.610009267</v>
      </c>
      <c r="N270" s="78">
        <v>37.004308390131726</v>
      </c>
      <c r="O270" s="96">
        <f>T269*L270*5</f>
        <v>397100.86419154273</v>
      </c>
      <c r="P270" s="96">
        <f>SUM(O270:O278)</f>
        <v>2016802.1921818277</v>
      </c>
      <c r="Q270" s="78"/>
      <c r="R270" s="78"/>
      <c r="S270" s="78" t="s">
        <v>70</v>
      </c>
      <c r="T270" s="104">
        <f>'nový výpočet'!S49</f>
        <v>0.68100000000000005</v>
      </c>
    </row>
    <row r="271" spans="1:20">
      <c r="A271" s="74" t="s">
        <v>68</v>
      </c>
      <c r="B271" s="89">
        <v>23035</v>
      </c>
      <c r="C271" s="89">
        <v>23570</v>
      </c>
      <c r="D271" s="89">
        <v>24494</v>
      </c>
      <c r="E271" s="89">
        <v>25383</v>
      </c>
      <c r="F271" s="79">
        <v>54</v>
      </c>
      <c r="G271" s="79">
        <v>69</v>
      </c>
      <c r="H271" s="79">
        <v>62</v>
      </c>
      <c r="I271" s="76">
        <v>1.3675434103187181E-2</v>
      </c>
      <c r="J271" s="77">
        <v>97182.316772735983</v>
      </c>
      <c r="K271" s="77">
        <v>1329.0103690206161</v>
      </c>
      <c r="L271" s="77">
        <v>96517.811588225682</v>
      </c>
      <c r="M271" s="77">
        <v>3139004.8099320601</v>
      </c>
      <c r="N271" s="78">
        <v>32.300164414403959</v>
      </c>
      <c r="O271" s="96">
        <f>T269*L271*5</f>
        <v>392701.99585627794</v>
      </c>
      <c r="P271" s="96">
        <f t="shared" ref="P271:P278" si="20">SUM(O271:O279)</f>
        <v>1619701.3279902851</v>
      </c>
      <c r="Q271" s="78">
        <f>P271/J271</f>
        <v>16.666626005408055</v>
      </c>
      <c r="R271" s="78" t="str">
        <f>R248</f>
        <v>AAI 4.2</v>
      </c>
      <c r="S271" s="78" t="s">
        <v>12</v>
      </c>
      <c r="T271" s="104">
        <f>'nový výpočet'!T49</f>
        <v>0.44831854396212312</v>
      </c>
    </row>
    <row r="272" spans="1:20">
      <c r="A272" s="74" t="s">
        <v>71</v>
      </c>
      <c r="B272" s="89">
        <v>23908</v>
      </c>
      <c r="C272" s="89">
        <v>23603</v>
      </c>
      <c r="D272" s="89">
        <v>23135</v>
      </c>
      <c r="E272" s="89">
        <v>22789</v>
      </c>
      <c r="F272" s="79">
        <v>128</v>
      </c>
      <c r="G272" s="79">
        <v>100</v>
      </c>
      <c r="H272" s="79">
        <v>118</v>
      </c>
      <c r="I272" s="76">
        <v>2.4651447592739625E-2</v>
      </c>
      <c r="J272" s="77">
        <v>95853.306403715367</v>
      </c>
      <c r="K272" s="77">
        <v>2362.9227594020049</v>
      </c>
      <c r="L272" s="77">
        <v>94671.845024014357</v>
      </c>
      <c r="M272" s="77">
        <v>2656415.7519909316</v>
      </c>
      <c r="N272" s="78">
        <v>27.713345023307056</v>
      </c>
      <c r="O272" s="96">
        <f>T270*L272*5</f>
        <v>322357.63230676891</v>
      </c>
      <c r="P272" s="96">
        <f t="shared" si="20"/>
        <v>1226999.3321340072</v>
      </c>
      <c r="Q272" s="78">
        <f t="shared" ref="Q272:Q278" si="21">P272/J272</f>
        <v>12.80080341690172</v>
      </c>
      <c r="R272" s="97">
        <f>(AVERAGE(Q271:Q272)/AVERAGE(N271:N272))</f>
        <v>0.49101326848573146</v>
      </c>
      <c r="S272" s="78" t="s">
        <v>13</v>
      </c>
      <c r="T272" s="104">
        <f>'nový výpočet'!U49</f>
        <v>0.29513879127800013</v>
      </c>
    </row>
    <row r="273" spans="1:20">
      <c r="A273" s="74" t="s">
        <v>72</v>
      </c>
      <c r="B273" s="89">
        <v>24257</v>
      </c>
      <c r="C273" s="89">
        <v>23798</v>
      </c>
      <c r="D273" s="89">
        <v>23510</v>
      </c>
      <c r="E273" s="89">
        <v>23538</v>
      </c>
      <c r="F273" s="79">
        <v>228</v>
      </c>
      <c r="G273" s="79">
        <v>207</v>
      </c>
      <c r="H273" s="79">
        <v>176</v>
      </c>
      <c r="I273" s="76">
        <v>4.0014087779608742E-2</v>
      </c>
      <c r="J273" s="77">
        <v>93490.383644313362</v>
      </c>
      <c r="K273" s="77">
        <v>3740.9324176928494</v>
      </c>
      <c r="L273" s="77">
        <v>91619.917435466938</v>
      </c>
      <c r="M273" s="77">
        <v>2183056.5268708598</v>
      </c>
      <c r="N273" s="78">
        <v>23.350599727736235</v>
      </c>
      <c r="O273" s="96">
        <f>T270*L273*5</f>
        <v>311965.81886776496</v>
      </c>
      <c r="P273" s="96">
        <f t="shared" si="20"/>
        <v>904641.69982723834</v>
      </c>
      <c r="Q273" s="78">
        <f t="shared" si="21"/>
        <v>9.6763074934954982</v>
      </c>
      <c r="R273" s="78"/>
      <c r="S273" s="78" t="s">
        <v>14</v>
      </c>
      <c r="T273" s="104">
        <f>'nový výpočet'!V49</f>
        <v>2.5000000000000001E-2</v>
      </c>
    </row>
    <row r="274" spans="1:20">
      <c r="A274" s="74" t="s">
        <v>73</v>
      </c>
      <c r="B274" s="89">
        <v>25122</v>
      </c>
      <c r="C274" s="89">
        <v>24871</v>
      </c>
      <c r="D274" s="89">
        <v>24549</v>
      </c>
      <c r="E274" s="89">
        <v>24180</v>
      </c>
      <c r="F274" s="79">
        <v>319</v>
      </c>
      <c r="G274" s="79">
        <v>309</v>
      </c>
      <c r="H274" s="79">
        <v>279</v>
      </c>
      <c r="I274" s="76">
        <v>6.0546645874780779E-2</v>
      </c>
      <c r="J274" s="77">
        <v>89749.451226620513</v>
      </c>
      <c r="K274" s="77">
        <v>5434.0282408741041</v>
      </c>
      <c r="L274" s="77">
        <v>87032.437106183468</v>
      </c>
      <c r="M274" s="77">
        <v>1724956.939693525</v>
      </c>
      <c r="N274" s="78">
        <v>19.219693447906977</v>
      </c>
      <c r="O274" s="96">
        <f>T271*L274*5</f>
        <v>195091.27740459616</v>
      </c>
      <c r="P274" s="96">
        <f t="shared" si="20"/>
        <v>592675.88095947332</v>
      </c>
      <c r="Q274" s="78">
        <f t="shared" si="21"/>
        <v>6.6036713635490196</v>
      </c>
      <c r="R274" s="78"/>
      <c r="S274" s="78"/>
    </row>
    <row r="275" spans="1:20">
      <c r="A275" s="74" t="s">
        <v>74</v>
      </c>
      <c r="B275" s="89">
        <v>20588</v>
      </c>
      <c r="C275" s="89">
        <v>21413</v>
      </c>
      <c r="D275" s="89">
        <v>22276</v>
      </c>
      <c r="E275" s="89">
        <v>22933</v>
      </c>
      <c r="F275" s="79">
        <v>473</v>
      </c>
      <c r="G275" s="79">
        <v>446</v>
      </c>
      <c r="H275" s="79">
        <v>425</v>
      </c>
      <c r="I275" s="76">
        <v>9.5518392369410343E-2</v>
      </c>
      <c r="J275" s="77">
        <v>84315.422985746409</v>
      </c>
      <c r="K275" s="77">
        <v>8053.6736555453244</v>
      </c>
      <c r="L275" s="77">
        <v>80288.586157973739</v>
      </c>
      <c r="M275" s="77">
        <v>1289794.7541626077</v>
      </c>
      <c r="N275" s="78">
        <v>15.297257707888729</v>
      </c>
      <c r="O275" s="96">
        <f>T271*L275*5</f>
        <v>179974.31021560129</v>
      </c>
      <c r="P275" s="96">
        <f t="shared" si="20"/>
        <v>397584.60355487716</v>
      </c>
      <c r="Q275" s="78">
        <f t="shared" si="21"/>
        <v>4.7154433848014872</v>
      </c>
      <c r="R275" s="78"/>
      <c r="S275" s="78"/>
    </row>
    <row r="276" spans="1:20">
      <c r="A276" s="74" t="s">
        <v>75</v>
      </c>
      <c r="B276" s="89">
        <v>14099</v>
      </c>
      <c r="C276" s="89">
        <v>14576</v>
      </c>
      <c r="D276" s="89">
        <v>15188</v>
      </c>
      <c r="E276" s="89">
        <v>15815</v>
      </c>
      <c r="F276" s="79">
        <v>582</v>
      </c>
      <c r="G276" s="79">
        <v>516</v>
      </c>
      <c r="H276" s="79">
        <v>487</v>
      </c>
      <c r="I276" s="76">
        <v>0.15645397026364188</v>
      </c>
      <c r="J276" s="77">
        <v>76261.749330201084</v>
      </c>
      <c r="K276" s="77">
        <v>11931.453461960591</v>
      </c>
      <c r="L276" s="77">
        <v>70296.022599220785</v>
      </c>
      <c r="M276" s="77">
        <v>888351.82337273902</v>
      </c>
      <c r="N276" s="78">
        <v>11.648720769914663</v>
      </c>
      <c r="O276" s="96">
        <f>T272*L276*5</f>
        <v>103735.41570792501</v>
      </c>
      <c r="P276" s="96">
        <f t="shared" si="20"/>
        <v>217610.2933392759</v>
      </c>
      <c r="Q276" s="78">
        <f t="shared" si="21"/>
        <v>2.8534657970807671</v>
      </c>
      <c r="R276" s="78"/>
      <c r="S276" s="78"/>
    </row>
    <row r="277" spans="1:20">
      <c r="A277" s="74" t="s">
        <v>76</v>
      </c>
      <c r="B277" s="89">
        <v>9860</v>
      </c>
      <c r="C277" s="89">
        <v>10215</v>
      </c>
      <c r="D277" s="89">
        <v>10423</v>
      </c>
      <c r="E277" s="89">
        <v>10733</v>
      </c>
      <c r="F277" s="79">
        <v>708</v>
      </c>
      <c r="G277" s="79">
        <v>696</v>
      </c>
      <c r="H277" s="79">
        <v>702</v>
      </c>
      <c r="I277" s="76">
        <v>0.29088799569054818</v>
      </c>
      <c r="J277" s="77">
        <v>64330.295868240493</v>
      </c>
      <c r="K277" s="77">
        <v>18712.910827292428</v>
      </c>
      <c r="L277" s="77">
        <v>54973.840454594276</v>
      </c>
      <c r="M277" s="77">
        <v>536871.71037663508</v>
      </c>
      <c r="N277" s="78">
        <v>8.3455501506823566</v>
      </c>
      <c r="O277" s="96">
        <f>T272*L277*5</f>
        <v>81124.564118392896</v>
      </c>
      <c r="P277" s="96">
        <f t="shared" si="20"/>
        <v>113874.87763135086</v>
      </c>
      <c r="Q277" s="78">
        <f t="shared" si="21"/>
        <v>1.7701593952651202</v>
      </c>
      <c r="R277" s="78"/>
      <c r="S277" s="78"/>
    </row>
    <row r="278" spans="1:20">
      <c r="A278" s="74" t="s">
        <v>14</v>
      </c>
      <c r="B278" s="89">
        <v>7624</v>
      </c>
      <c r="C278" s="89">
        <v>7610</v>
      </c>
      <c r="D278" s="89">
        <v>7852</v>
      </c>
      <c r="E278" s="89">
        <v>8135</v>
      </c>
      <c r="F278" s="74">
        <v>1456</v>
      </c>
      <c r="G278" s="74">
        <v>1289</v>
      </c>
      <c r="H278" s="74">
        <v>1319</v>
      </c>
      <c r="I278" s="76">
        <v>0.60654000567138788</v>
      </c>
      <c r="J278" s="77">
        <v>45617.385040948066</v>
      </c>
      <c r="K278" s="77">
        <v>45617.385040948066</v>
      </c>
      <c r="L278" s="77">
        <v>262002.50810366371</v>
      </c>
      <c r="M278" s="77">
        <v>262002.50810366371</v>
      </c>
      <c r="N278" s="78">
        <v>5.743479330708662</v>
      </c>
      <c r="O278" s="96">
        <f>T273*L278*5</f>
        <v>32750.313512957964</v>
      </c>
      <c r="P278" s="96">
        <f t="shared" si="20"/>
        <v>32750.313512957964</v>
      </c>
      <c r="Q278" s="78">
        <f t="shared" si="21"/>
        <v>0.71793491633858275</v>
      </c>
      <c r="R278" s="78"/>
    </row>
    <row r="279" spans="1:20">
      <c r="N279" s="78"/>
      <c r="O279" s="78"/>
      <c r="P279" s="78"/>
      <c r="Q279" s="78"/>
      <c r="R279" s="78"/>
      <c r="S279" s="78"/>
    </row>
    <row r="280" spans="1:20">
      <c r="N280" s="78"/>
      <c r="O280" s="78"/>
      <c r="P280" s="78"/>
      <c r="Q280" s="78"/>
      <c r="R280" s="78"/>
      <c r="S280" s="86"/>
    </row>
    <row r="281" spans="1:20">
      <c r="B281" s="149" t="s">
        <v>42</v>
      </c>
      <c r="C281" s="150"/>
      <c r="D281" s="150"/>
      <c r="E281" s="151"/>
      <c r="F281" s="149" t="s">
        <v>43</v>
      </c>
      <c r="G281" s="150"/>
      <c r="H281" s="151"/>
      <c r="I281" s="152" t="s">
        <v>44</v>
      </c>
      <c r="J281" s="153"/>
      <c r="K281" s="153"/>
      <c r="L281" s="153"/>
      <c r="M281" s="153"/>
      <c r="N281" s="154"/>
      <c r="O281" s="86"/>
      <c r="P281" s="86"/>
      <c r="Q281" s="86"/>
      <c r="R281" s="86"/>
      <c r="S281" s="88"/>
    </row>
    <row r="282" spans="1:20">
      <c r="A282" s="74" t="s">
        <v>26</v>
      </c>
      <c r="B282" s="69">
        <v>2021</v>
      </c>
      <c r="C282" s="69">
        <v>2022</v>
      </c>
      <c r="D282" s="69">
        <v>2023</v>
      </c>
      <c r="E282" s="69">
        <v>2024</v>
      </c>
      <c r="F282" s="69">
        <v>2022</v>
      </c>
      <c r="G282" s="69">
        <v>2023</v>
      </c>
      <c r="H282" s="69">
        <v>2024</v>
      </c>
      <c r="I282" s="70" t="s">
        <v>46</v>
      </c>
      <c r="J282" s="71" t="s">
        <v>47</v>
      </c>
      <c r="K282" s="71" t="s">
        <v>48</v>
      </c>
      <c r="L282" s="71" t="s">
        <v>49</v>
      </c>
      <c r="M282" s="71" t="s">
        <v>50</v>
      </c>
      <c r="N282" s="72" t="s">
        <v>51</v>
      </c>
      <c r="O282" s="88"/>
      <c r="P282" s="88"/>
      <c r="Q282" s="88"/>
      <c r="R282" s="88"/>
      <c r="S282" s="78"/>
    </row>
    <row r="283" spans="1:20">
      <c r="A283" s="74" t="s">
        <v>54</v>
      </c>
      <c r="B283" s="89">
        <v>3644</v>
      </c>
      <c r="C283" s="89">
        <v>3299</v>
      </c>
      <c r="D283" s="89">
        <v>3078</v>
      </c>
      <c r="E283" s="89">
        <v>2864</v>
      </c>
      <c r="F283" s="74">
        <v>4</v>
      </c>
      <c r="G283" s="74">
        <v>4</v>
      </c>
      <c r="H283" s="74">
        <v>9</v>
      </c>
      <c r="I283" s="76">
        <v>1.8396277459149443E-3</v>
      </c>
      <c r="J283" s="77">
        <v>100000</v>
      </c>
      <c r="K283" s="77">
        <v>183.96277459149132</v>
      </c>
      <c r="L283" s="77">
        <v>99834.433502867658</v>
      </c>
      <c r="M283" s="77">
        <v>8193111.774531479</v>
      </c>
      <c r="N283" s="78">
        <v>81.931117745314793</v>
      </c>
      <c r="O283" s="78"/>
      <c r="P283" s="78"/>
      <c r="Q283" s="78"/>
      <c r="R283" s="78"/>
      <c r="S283" s="78"/>
    </row>
    <row r="284" spans="1:20">
      <c r="A284" s="74" t="s">
        <v>55</v>
      </c>
      <c r="B284" s="89">
        <v>14837</v>
      </c>
      <c r="C284" s="89">
        <v>14791</v>
      </c>
      <c r="D284" s="89">
        <v>14405</v>
      </c>
      <c r="E284" s="89">
        <v>13763</v>
      </c>
      <c r="F284" s="74">
        <v>0</v>
      </c>
      <c r="G284" s="74">
        <v>2</v>
      </c>
      <c r="H284" s="74">
        <v>1</v>
      </c>
      <c r="I284" s="76">
        <v>2.7584938623511566E-4</v>
      </c>
      <c r="J284" s="77">
        <v>99816.037225408509</v>
      </c>
      <c r="K284" s="77">
        <v>27.534192605060525</v>
      </c>
      <c r="L284" s="77">
        <v>99802.270129105978</v>
      </c>
      <c r="M284" s="77">
        <v>8093277.3410286112</v>
      </c>
      <c r="N284" s="78">
        <v>81.081933985738715</v>
      </c>
      <c r="O284" s="78"/>
      <c r="P284" s="78"/>
      <c r="Q284" s="78"/>
      <c r="R284" s="78"/>
      <c r="S284" s="78"/>
    </row>
    <row r="285" spans="1:20">
      <c r="A285" s="74" t="s">
        <v>56</v>
      </c>
      <c r="B285" s="89">
        <v>17687</v>
      </c>
      <c r="C285" s="89">
        <v>17870</v>
      </c>
      <c r="D285" s="89">
        <v>18138</v>
      </c>
      <c r="E285" s="89">
        <v>18505</v>
      </c>
      <c r="F285" s="79">
        <v>2</v>
      </c>
      <c r="G285" s="79">
        <v>1</v>
      </c>
      <c r="H285" s="79">
        <v>2</v>
      </c>
      <c r="I285" s="76">
        <v>1.9520913289396808E-4</v>
      </c>
      <c r="J285" s="77">
        <v>99788.503032803448</v>
      </c>
      <c r="K285" s="77">
        <v>19.479627149819862</v>
      </c>
      <c r="L285" s="77">
        <v>99778.763219228538</v>
      </c>
      <c r="M285" s="77">
        <v>7694068.2605121871</v>
      </c>
      <c r="N285" s="78">
        <v>77.103754707923798</v>
      </c>
      <c r="O285" s="78"/>
      <c r="P285" s="78"/>
      <c r="Q285" s="78"/>
      <c r="R285" s="78"/>
      <c r="S285" s="78"/>
    </row>
    <row r="286" spans="1:20">
      <c r="A286" s="74" t="s">
        <v>57</v>
      </c>
      <c r="B286" s="89">
        <v>17706</v>
      </c>
      <c r="C286" s="89">
        <v>17915</v>
      </c>
      <c r="D286" s="89">
        <v>17768</v>
      </c>
      <c r="E286" s="89">
        <v>17573</v>
      </c>
      <c r="F286" s="90" t="s">
        <v>54</v>
      </c>
      <c r="G286" s="79">
        <v>1</v>
      </c>
      <c r="H286" s="79">
        <v>1</v>
      </c>
      <c r="I286" s="76">
        <v>3.984213377349884E-4</v>
      </c>
      <c r="J286" s="77">
        <v>99769.023405653628</v>
      </c>
      <c r="K286" s="77">
        <v>39.750107769781607</v>
      </c>
      <c r="L286" s="77">
        <v>99749.14835176873</v>
      </c>
      <c r="M286" s="77">
        <v>7195174.4444160443</v>
      </c>
      <c r="N286" s="78">
        <v>72.118320885641893</v>
      </c>
      <c r="O286" s="78"/>
      <c r="P286" s="78"/>
      <c r="Q286" s="78"/>
      <c r="R286" s="78"/>
      <c r="S286" s="78"/>
    </row>
    <row r="287" spans="1:20">
      <c r="A287" s="74" t="s">
        <v>58</v>
      </c>
      <c r="B287" s="89">
        <v>16873</v>
      </c>
      <c r="C287" s="89">
        <v>16812</v>
      </c>
      <c r="D287" s="89">
        <v>17036</v>
      </c>
      <c r="E287" s="89">
        <v>17237</v>
      </c>
      <c r="F287" s="79">
        <v>2</v>
      </c>
      <c r="G287" s="79">
        <v>2</v>
      </c>
      <c r="H287" s="79">
        <v>5</v>
      </c>
      <c r="I287" s="76">
        <v>7.6042301761538916E-4</v>
      </c>
      <c r="J287" s="77">
        <v>99729.273297883847</v>
      </c>
      <c r="K287" s="77">
        <v>75.836434945769724</v>
      </c>
      <c r="L287" s="77">
        <v>99691.355080410955</v>
      </c>
      <c r="M287" s="77">
        <v>6696428.7026572004</v>
      </c>
      <c r="N287" s="78">
        <v>67.146069365766564</v>
      </c>
      <c r="O287" s="78"/>
      <c r="P287" s="78"/>
      <c r="Q287" s="78"/>
      <c r="R287" s="78"/>
      <c r="S287" s="78"/>
    </row>
    <row r="288" spans="1:20">
      <c r="A288" s="74" t="s">
        <v>59</v>
      </c>
      <c r="B288" s="89">
        <v>18632</v>
      </c>
      <c r="C288" s="89">
        <v>18047</v>
      </c>
      <c r="D288" s="89">
        <v>17576</v>
      </c>
      <c r="E288" s="89">
        <v>17300</v>
      </c>
      <c r="F288" s="79">
        <v>1</v>
      </c>
      <c r="G288" s="79">
        <v>2</v>
      </c>
      <c r="H288" s="79">
        <v>9</v>
      </c>
      <c r="I288" s="76">
        <v>1.0372565860239018E-3</v>
      </c>
      <c r="J288" s="77">
        <v>99653.436862938077</v>
      </c>
      <c r="K288" s="77">
        <v>103.36618370600627</v>
      </c>
      <c r="L288" s="77">
        <v>99601.753771085074</v>
      </c>
      <c r="M288" s="77">
        <v>6197971.9272551453</v>
      </c>
      <c r="N288" s="78">
        <v>62.195265134505576</v>
      </c>
      <c r="O288" s="78"/>
      <c r="P288" s="78"/>
      <c r="Q288" s="78"/>
      <c r="R288" s="78"/>
      <c r="S288" s="78"/>
    </row>
    <row r="289" spans="1:20">
      <c r="A289" s="74" t="s">
        <v>60</v>
      </c>
      <c r="B289" s="89">
        <v>21894</v>
      </c>
      <c r="C289" s="89">
        <v>20974</v>
      </c>
      <c r="D289" s="89">
        <v>19965</v>
      </c>
      <c r="E289" s="89">
        <v>19223</v>
      </c>
      <c r="F289" s="79">
        <v>3</v>
      </c>
      <c r="G289" s="79">
        <v>3</v>
      </c>
      <c r="H289" s="79">
        <v>8</v>
      </c>
      <c r="I289" s="76">
        <v>1.3311401455450263E-3</v>
      </c>
      <c r="J289" s="77">
        <v>99550.070679232071</v>
      </c>
      <c r="K289" s="77">
        <v>132.51509557297686</v>
      </c>
      <c r="L289" s="77">
        <v>99483.813131445582</v>
      </c>
      <c r="M289" s="77">
        <v>5699963.1583997197</v>
      </c>
      <c r="N289" s="78">
        <v>57.257248734317919</v>
      </c>
      <c r="O289" s="78"/>
      <c r="P289" s="78"/>
      <c r="Q289" s="78"/>
      <c r="R289" s="78"/>
      <c r="S289" s="78"/>
    </row>
    <row r="290" spans="1:20">
      <c r="A290" s="74" t="s">
        <v>61</v>
      </c>
      <c r="B290" s="89">
        <v>24538</v>
      </c>
      <c r="C290" s="89">
        <v>24151</v>
      </c>
      <c r="D290" s="89">
        <v>23791</v>
      </c>
      <c r="E290" s="89">
        <v>23055</v>
      </c>
      <c r="F290" s="79">
        <v>13</v>
      </c>
      <c r="G290" s="79">
        <v>6</v>
      </c>
      <c r="H290" s="79">
        <v>14</v>
      </c>
      <c r="I290" s="76">
        <v>2.2298676207284018E-3</v>
      </c>
      <c r="J290" s="77">
        <v>99417.555583659094</v>
      </c>
      <c r="K290" s="77">
        <v>221.68798812797468</v>
      </c>
      <c r="L290" s="77">
        <v>99306.711589595099</v>
      </c>
      <c r="M290" s="77">
        <v>5202544.0927424915</v>
      </c>
      <c r="N290" s="78">
        <v>52.330235461930982</v>
      </c>
      <c r="O290" s="78"/>
      <c r="P290" s="78"/>
      <c r="Q290" s="78"/>
      <c r="R290" s="78"/>
      <c r="S290" s="78"/>
    </row>
    <row r="291" spans="1:20">
      <c r="A291" s="74" t="s">
        <v>62</v>
      </c>
      <c r="B291" s="89">
        <v>25377</v>
      </c>
      <c r="C291" s="89">
        <v>25026</v>
      </c>
      <c r="D291" s="89">
        <v>24801</v>
      </c>
      <c r="E291" s="89">
        <v>24581</v>
      </c>
      <c r="F291" s="79">
        <v>15</v>
      </c>
      <c r="G291" s="79">
        <v>18</v>
      </c>
      <c r="H291" s="79">
        <v>17</v>
      </c>
      <c r="I291" s="76">
        <v>2.971187979762533E-3</v>
      </c>
      <c r="J291" s="77">
        <v>99195.867595531119</v>
      </c>
      <c r="K291" s="77">
        <v>294.72956944195903</v>
      </c>
      <c r="L291" s="77">
        <v>99048.50281081014</v>
      </c>
      <c r="M291" s="77">
        <v>4706010.5347945159</v>
      </c>
      <c r="N291" s="78">
        <v>47.441598615611348</v>
      </c>
      <c r="O291" s="78"/>
      <c r="P291" s="78"/>
      <c r="Q291" s="78"/>
      <c r="R291" s="78"/>
      <c r="S291" s="78"/>
      <c r="T291" s="68" t="s">
        <v>79</v>
      </c>
    </row>
    <row r="292" spans="1:20">
      <c r="A292" s="74" t="s">
        <v>64</v>
      </c>
      <c r="B292" s="89">
        <v>26607</v>
      </c>
      <c r="C292" s="89">
        <v>26172</v>
      </c>
      <c r="D292" s="89">
        <v>25696</v>
      </c>
      <c r="E292" s="89">
        <v>25192</v>
      </c>
      <c r="F292" s="79">
        <v>19</v>
      </c>
      <c r="G292" s="79">
        <v>24</v>
      </c>
      <c r="H292" s="79">
        <v>18</v>
      </c>
      <c r="I292" s="76">
        <v>4.5038309884358483E-3</v>
      </c>
      <c r="J292" s="77">
        <v>98901.13802608916</v>
      </c>
      <c r="K292" s="77">
        <v>445.43401023346814</v>
      </c>
      <c r="L292" s="77">
        <v>98678.421020972426</v>
      </c>
      <c r="M292" s="77">
        <v>4210768.0207404653</v>
      </c>
      <c r="N292" s="78">
        <v>42.575526478064447</v>
      </c>
      <c r="O292" s="78"/>
      <c r="P292" s="78"/>
      <c r="Q292" s="78"/>
      <c r="R292" s="78"/>
      <c r="S292" s="78" t="s">
        <v>67</v>
      </c>
      <c r="T292" s="104">
        <f>'nový výpočet'!R50</f>
        <v>0.75463980297856215</v>
      </c>
    </row>
    <row r="293" spans="1:20">
      <c r="A293" s="74" t="s">
        <v>66</v>
      </c>
      <c r="B293" s="89">
        <v>26407</v>
      </c>
      <c r="C293" s="89">
        <v>26736</v>
      </c>
      <c r="D293" s="89">
        <v>26861</v>
      </c>
      <c r="E293" s="89">
        <v>26973</v>
      </c>
      <c r="F293" s="79">
        <v>46</v>
      </c>
      <c r="G293" s="79">
        <v>51</v>
      </c>
      <c r="H293" s="79">
        <v>43</v>
      </c>
      <c r="I293" s="76">
        <v>8.3764016776248472E-3</v>
      </c>
      <c r="J293" s="77">
        <v>98455.704015855692</v>
      </c>
      <c r="K293" s="77">
        <v>824.70452429015131</v>
      </c>
      <c r="L293" s="77">
        <v>98043.351753710624</v>
      </c>
      <c r="M293" s="77">
        <v>3717375.9156356035</v>
      </c>
      <c r="N293" s="78">
        <v>37.75683646563477</v>
      </c>
      <c r="O293" s="96">
        <f>T292*L293*5</f>
        <v>369937.07825389027</v>
      </c>
      <c r="P293" s="96">
        <f>SUM(O293:O301)</f>
        <v>1589337.3503288443</v>
      </c>
      <c r="Q293" s="78"/>
      <c r="R293" s="78"/>
      <c r="S293" s="78" t="s">
        <v>70</v>
      </c>
      <c r="T293" s="104">
        <f>'nový výpočet'!S50</f>
        <v>0.40100000000000002</v>
      </c>
    </row>
    <row r="294" spans="1:20">
      <c r="A294" s="74" t="s">
        <v>68</v>
      </c>
      <c r="B294" s="89">
        <v>22150</v>
      </c>
      <c r="C294" s="89">
        <v>22780</v>
      </c>
      <c r="D294" s="89">
        <v>23798</v>
      </c>
      <c r="E294" s="89">
        <v>24699</v>
      </c>
      <c r="F294" s="79">
        <v>77</v>
      </c>
      <c r="G294" s="79">
        <v>63</v>
      </c>
      <c r="H294" s="79">
        <v>62</v>
      </c>
      <c r="I294" s="76">
        <v>1.4311260253556665E-2</v>
      </c>
      <c r="J294" s="77">
        <v>97630.999491565541</v>
      </c>
      <c r="K294" s="77">
        <v>1397.2226425386471</v>
      </c>
      <c r="L294" s="77">
        <v>96932.38817029621</v>
      </c>
      <c r="M294" s="77">
        <v>3227159.1568670506</v>
      </c>
      <c r="N294" s="78">
        <v>33.054656550411003</v>
      </c>
      <c r="O294" s="96">
        <f>T292*L294*5</f>
        <v>365745.19155536918</v>
      </c>
      <c r="P294" s="96">
        <f t="shared" ref="P294:P301" si="22">SUM(O294:O302)</f>
        <v>1219400.2720749544</v>
      </c>
      <c r="Q294" s="78">
        <f>P294/J294</f>
        <v>12.489888236576947</v>
      </c>
      <c r="R294" s="78" t="str">
        <f>R271</f>
        <v>AAI 4.2</v>
      </c>
      <c r="S294" s="78" t="s">
        <v>12</v>
      </c>
      <c r="T294" s="104">
        <f>'nový výpočet'!T50</f>
        <v>0.31981460316185928</v>
      </c>
    </row>
    <row r="295" spans="1:20">
      <c r="A295" s="74" t="s">
        <v>71</v>
      </c>
      <c r="B295" s="89">
        <v>22536</v>
      </c>
      <c r="C295" s="89">
        <v>22432</v>
      </c>
      <c r="D295" s="89">
        <v>21783</v>
      </c>
      <c r="E295" s="89">
        <v>21500</v>
      </c>
      <c r="F295" s="79">
        <v>111</v>
      </c>
      <c r="G295" s="79">
        <v>93</v>
      </c>
      <c r="H295" s="79">
        <v>87</v>
      </c>
      <c r="I295" s="76">
        <v>2.1017242141216835E-2</v>
      </c>
      <c r="J295" s="77">
        <v>96233.776849026894</v>
      </c>
      <c r="K295" s="77">
        <v>2022.5685901998222</v>
      </c>
      <c r="L295" s="77">
        <v>95222.492553926975</v>
      </c>
      <c r="M295" s="77">
        <v>2742497.2160155694</v>
      </c>
      <c r="N295" s="78">
        <v>28.49828101746483</v>
      </c>
      <c r="O295" s="96">
        <f>T293*L295*5</f>
        <v>190921.09757062362</v>
      </c>
      <c r="P295" s="96">
        <f t="shared" si="22"/>
        <v>853655.08051958482</v>
      </c>
      <c r="Q295" s="78">
        <f t="shared" ref="Q295:Q301" si="23">P295/J295</f>
        <v>8.8706388595639627</v>
      </c>
      <c r="R295" s="97">
        <f>(AVERAGE(Q294:Q295)/AVERAGE(N294:N295))</f>
        <v>0.34702693226600551</v>
      </c>
      <c r="S295" s="78" t="s">
        <v>13</v>
      </c>
      <c r="T295" s="104">
        <f>'nový výpočet'!U50</f>
        <v>0.25506578652263723</v>
      </c>
    </row>
    <row r="296" spans="1:20">
      <c r="A296" s="74" t="s">
        <v>72</v>
      </c>
      <c r="B296" s="89">
        <v>22544</v>
      </c>
      <c r="C296" s="89">
        <v>21969</v>
      </c>
      <c r="D296" s="89">
        <v>22064</v>
      </c>
      <c r="E296" s="89">
        <v>22186</v>
      </c>
      <c r="F296" s="79">
        <v>135</v>
      </c>
      <c r="G296" s="79">
        <v>160</v>
      </c>
      <c r="H296" s="79">
        <v>137</v>
      </c>
      <c r="I296" s="76">
        <v>3.3182798395486657E-2</v>
      </c>
      <c r="J296" s="77">
        <v>94211.208258827071</v>
      </c>
      <c r="K296" s="77">
        <v>3126.1915302478592</v>
      </c>
      <c r="L296" s="77">
        <v>92648.112493703142</v>
      </c>
      <c r="M296" s="77">
        <v>2266384.7532459344</v>
      </c>
      <c r="N296" s="78">
        <v>24.05642380702178</v>
      </c>
      <c r="O296" s="96">
        <f>T293*L296*5</f>
        <v>185759.46554987482</v>
      </c>
      <c r="P296" s="96">
        <f t="shared" si="22"/>
        <v>662733.9829489612</v>
      </c>
      <c r="Q296" s="78">
        <f t="shared" si="23"/>
        <v>7.0345556032805332</v>
      </c>
      <c r="R296" s="78"/>
      <c r="S296" s="78" t="s">
        <v>14</v>
      </c>
      <c r="T296" s="104">
        <f>'nový výpočet'!V50</f>
        <v>2.5000000000000001E-2</v>
      </c>
    </row>
    <row r="297" spans="1:20">
      <c r="A297" s="74" t="s">
        <v>73</v>
      </c>
      <c r="B297" s="89">
        <v>22621</v>
      </c>
      <c r="C297" s="89">
        <v>22853</v>
      </c>
      <c r="D297" s="89">
        <v>22689</v>
      </c>
      <c r="E297" s="89">
        <v>22431</v>
      </c>
      <c r="F297" s="79">
        <v>283</v>
      </c>
      <c r="G297" s="79">
        <v>267</v>
      </c>
      <c r="H297" s="79">
        <v>236</v>
      </c>
      <c r="I297" s="76">
        <v>5.4203455081172788E-2</v>
      </c>
      <c r="J297" s="77">
        <v>91085.016728579212</v>
      </c>
      <c r="K297" s="77">
        <v>4937.1226128154085</v>
      </c>
      <c r="L297" s="77">
        <v>88616.455422171508</v>
      </c>
      <c r="M297" s="77">
        <v>1803144.1907774187</v>
      </c>
      <c r="N297" s="78">
        <v>19.7962766604143</v>
      </c>
      <c r="O297" s="96">
        <f>T294*L297*5</f>
        <v>141704.18262226187</v>
      </c>
      <c r="P297" s="96">
        <f t="shared" si="22"/>
        <v>476974.51739908638</v>
      </c>
      <c r="Q297" s="78">
        <f t="shared" si="23"/>
        <v>5.2365859340005905</v>
      </c>
      <c r="R297" s="78"/>
      <c r="S297" s="78"/>
    </row>
    <row r="298" spans="1:20">
      <c r="A298" s="74" t="s">
        <v>74</v>
      </c>
      <c r="B298" s="89">
        <v>18526</v>
      </c>
      <c r="C298" s="89">
        <v>19165</v>
      </c>
      <c r="D298" s="89">
        <v>19793</v>
      </c>
      <c r="E298" s="89">
        <v>20470</v>
      </c>
      <c r="F298" s="79">
        <v>369</v>
      </c>
      <c r="G298" s="79">
        <v>363</v>
      </c>
      <c r="H298" s="79">
        <v>361</v>
      </c>
      <c r="I298" s="76">
        <v>8.9346472425893331E-2</v>
      </c>
      <c r="J298" s="77">
        <v>86147.894115763804</v>
      </c>
      <c r="K298" s="77">
        <v>7697.0104461628653</v>
      </c>
      <c r="L298" s="77">
        <v>82299.388892682371</v>
      </c>
      <c r="M298" s="77">
        <v>1360061.913666561</v>
      </c>
      <c r="N298" s="78">
        <v>15.787523625811877</v>
      </c>
      <c r="O298" s="96">
        <f>T294*L298*5</f>
        <v>131602.73199588372</v>
      </c>
      <c r="P298" s="96">
        <f t="shared" si="22"/>
        <v>335270.33477682457</v>
      </c>
      <c r="Q298" s="78">
        <f t="shared" si="23"/>
        <v>3.8917995409881412</v>
      </c>
      <c r="R298" s="78"/>
      <c r="S298" s="78"/>
    </row>
    <row r="299" spans="1:20">
      <c r="A299" s="74" t="s">
        <v>75</v>
      </c>
      <c r="B299" s="89">
        <v>11824</v>
      </c>
      <c r="C299" s="89">
        <v>12525</v>
      </c>
      <c r="D299" s="89">
        <v>13355</v>
      </c>
      <c r="E299" s="89">
        <v>14041</v>
      </c>
      <c r="F299" s="79">
        <v>436</v>
      </c>
      <c r="G299" s="79">
        <v>435</v>
      </c>
      <c r="H299" s="79">
        <v>418</v>
      </c>
      <c r="I299" s="76">
        <v>0.14427365901616113</v>
      </c>
      <c r="J299" s="77">
        <v>78450.883669600938</v>
      </c>
      <c r="K299" s="77">
        <v>11318.39604006453</v>
      </c>
      <c r="L299" s="77">
        <v>72791.685649568681</v>
      </c>
      <c r="M299" s="77">
        <v>948564.9692031492</v>
      </c>
      <c r="N299" s="78">
        <v>12.091195469487237</v>
      </c>
      <c r="O299" s="96">
        <f>T295*L299*5</f>
        <v>92833.342762578992</v>
      </c>
      <c r="P299" s="96">
        <f t="shared" si="22"/>
        <v>203667.60278094083</v>
      </c>
      <c r="Q299" s="78">
        <f t="shared" si="23"/>
        <v>2.5961161079930615</v>
      </c>
      <c r="R299" s="78"/>
      <c r="S299" s="78"/>
    </row>
    <row r="300" spans="1:20">
      <c r="A300" s="74" t="s">
        <v>76</v>
      </c>
      <c r="B300" s="89">
        <v>8479</v>
      </c>
      <c r="C300" s="89">
        <v>8651</v>
      </c>
      <c r="D300" s="89">
        <v>8760</v>
      </c>
      <c r="E300" s="89">
        <v>9051</v>
      </c>
      <c r="F300" s="79">
        <v>562</v>
      </c>
      <c r="G300" s="79">
        <v>558</v>
      </c>
      <c r="H300" s="79">
        <v>516</v>
      </c>
      <c r="I300" s="76">
        <v>0.27027027027027029</v>
      </c>
      <c r="J300" s="77">
        <v>67132.487629536408</v>
      </c>
      <c r="K300" s="77">
        <v>18143.915575550382</v>
      </c>
      <c r="L300" s="77">
        <v>58060.529841761221</v>
      </c>
      <c r="M300" s="77">
        <v>584606.5409553058</v>
      </c>
      <c r="N300" s="78">
        <v>8.7082508275485875</v>
      </c>
      <c r="O300" s="96">
        <f>T295*L300*5</f>
        <v>74046.273550049387</v>
      </c>
      <c r="P300" s="96">
        <f t="shared" si="22"/>
        <v>110834.26001836185</v>
      </c>
      <c r="Q300" s="78">
        <f t="shared" si="23"/>
        <v>1.6509779978657888</v>
      </c>
      <c r="R300" s="78"/>
      <c r="S300" s="78"/>
    </row>
    <row r="301" spans="1:20">
      <c r="A301" s="74" t="s">
        <v>14</v>
      </c>
      <c r="B301" s="89">
        <v>7079</v>
      </c>
      <c r="C301" s="89">
        <v>7050</v>
      </c>
      <c r="D301" s="89">
        <v>7359</v>
      </c>
      <c r="E301" s="89">
        <v>7562</v>
      </c>
      <c r="F301" s="74">
        <v>1348</v>
      </c>
      <c r="G301" s="74">
        <v>1113</v>
      </c>
      <c r="H301" s="74">
        <v>1156</v>
      </c>
      <c r="I301" s="76">
        <v>0.58770960613544776</v>
      </c>
      <c r="J301" s="77">
        <v>48988.572053986027</v>
      </c>
      <c r="K301" s="77">
        <v>48988.572053986027</v>
      </c>
      <c r="L301" s="77">
        <v>294303.89174649969</v>
      </c>
      <c r="M301" s="77">
        <v>294303.89174649969</v>
      </c>
      <c r="N301" s="78">
        <v>6.0076029858999176</v>
      </c>
      <c r="O301" s="96">
        <f>T296*L301*5</f>
        <v>36787.986468312462</v>
      </c>
      <c r="P301" s="96">
        <f t="shared" si="22"/>
        <v>36787.986468312462</v>
      </c>
      <c r="Q301" s="78">
        <f t="shared" si="23"/>
        <v>0.7509503732374897</v>
      </c>
      <c r="R301" s="78"/>
    </row>
    <row r="302" spans="1:20">
      <c r="N302" s="78"/>
      <c r="O302" s="78"/>
      <c r="P302" s="78"/>
      <c r="Q302" s="78"/>
      <c r="R302" s="78"/>
      <c r="S302" s="78"/>
    </row>
    <row r="303" spans="1:20">
      <c r="N303" s="78"/>
      <c r="O303" s="78"/>
      <c r="P303" s="78"/>
      <c r="Q303" s="78"/>
      <c r="R303" s="78"/>
      <c r="S303" s="86"/>
    </row>
    <row r="304" spans="1:20">
      <c r="B304" s="149" t="s">
        <v>42</v>
      </c>
      <c r="C304" s="150"/>
      <c r="D304" s="150"/>
      <c r="E304" s="151"/>
      <c r="F304" s="149" t="s">
        <v>43</v>
      </c>
      <c r="G304" s="150"/>
      <c r="H304" s="151"/>
      <c r="I304" s="152" t="s">
        <v>44</v>
      </c>
      <c r="J304" s="153"/>
      <c r="K304" s="153"/>
      <c r="L304" s="153"/>
      <c r="M304" s="153"/>
      <c r="N304" s="154"/>
      <c r="O304" s="86"/>
      <c r="P304" s="86"/>
      <c r="Q304" s="86"/>
      <c r="R304" s="86"/>
      <c r="S304" s="88"/>
    </row>
    <row r="305" spans="1:20">
      <c r="A305" s="74" t="s">
        <v>27</v>
      </c>
      <c r="B305" s="69">
        <v>2021</v>
      </c>
      <c r="C305" s="69">
        <v>2022</v>
      </c>
      <c r="D305" s="69">
        <v>2023</v>
      </c>
      <c r="E305" s="69">
        <v>2024</v>
      </c>
      <c r="F305" s="69">
        <v>2022</v>
      </c>
      <c r="G305" s="69">
        <v>2023</v>
      </c>
      <c r="H305" s="69">
        <v>2024</v>
      </c>
      <c r="I305" s="70" t="s">
        <v>46</v>
      </c>
      <c r="J305" s="71" t="s">
        <v>47</v>
      </c>
      <c r="K305" s="71" t="s">
        <v>48</v>
      </c>
      <c r="L305" s="71" t="s">
        <v>49</v>
      </c>
      <c r="M305" s="71" t="s">
        <v>50</v>
      </c>
      <c r="N305" s="72" t="s">
        <v>51</v>
      </c>
      <c r="O305" s="88"/>
      <c r="P305" s="88"/>
      <c r="Q305" s="88"/>
      <c r="R305" s="88"/>
      <c r="S305" s="78"/>
    </row>
    <row r="306" spans="1:20">
      <c r="A306" s="74" t="s">
        <v>54</v>
      </c>
      <c r="B306" s="89">
        <v>2836</v>
      </c>
      <c r="C306" s="89">
        <v>2740</v>
      </c>
      <c r="D306" s="89">
        <v>2456</v>
      </c>
      <c r="E306" s="89">
        <v>2335</v>
      </c>
      <c r="F306" s="74">
        <v>8</v>
      </c>
      <c r="G306" s="74">
        <v>14</v>
      </c>
      <c r="H306" s="74">
        <v>11</v>
      </c>
      <c r="I306" s="76">
        <v>4.3818881954587703E-3</v>
      </c>
      <c r="J306" s="77">
        <v>100000</v>
      </c>
      <c r="K306" s="77">
        <v>438.18881954588869</v>
      </c>
      <c r="L306" s="77">
        <v>99605.630062408702</v>
      </c>
      <c r="M306" s="77">
        <v>8017083.6224984108</v>
      </c>
      <c r="N306" s="78">
        <v>80.170836224984114</v>
      </c>
      <c r="O306" s="78"/>
      <c r="P306" s="78"/>
      <c r="Q306" s="78"/>
      <c r="R306" s="78"/>
      <c r="S306" s="78"/>
    </row>
    <row r="307" spans="1:20">
      <c r="A307" s="74" t="s">
        <v>55</v>
      </c>
      <c r="B307" s="89">
        <v>12178</v>
      </c>
      <c r="C307" s="89">
        <v>11839</v>
      </c>
      <c r="D307" s="89">
        <v>11548</v>
      </c>
      <c r="E307" s="89">
        <v>11032</v>
      </c>
      <c r="F307" s="74">
        <v>4</v>
      </c>
      <c r="G307" s="74">
        <v>6</v>
      </c>
      <c r="H307" s="74">
        <v>3</v>
      </c>
      <c r="I307" s="76">
        <v>1.4849505968359128E-3</v>
      </c>
      <c r="J307" s="77">
        <v>99561.811180454111</v>
      </c>
      <c r="K307" s="77">
        <v>147.84437093448651</v>
      </c>
      <c r="L307" s="77">
        <v>99487.888994986861</v>
      </c>
      <c r="M307" s="77">
        <v>7917477.992436002</v>
      </c>
      <c r="N307" s="78">
        <v>79.523241879215178</v>
      </c>
      <c r="O307" s="78"/>
      <c r="P307" s="78"/>
      <c r="Q307" s="78"/>
      <c r="R307" s="78"/>
      <c r="S307" s="78"/>
    </row>
    <row r="308" spans="1:20">
      <c r="A308" s="74" t="s">
        <v>56</v>
      </c>
      <c r="B308" s="89">
        <v>15212</v>
      </c>
      <c r="C308" s="89">
        <v>15450</v>
      </c>
      <c r="D308" s="89">
        <v>15367</v>
      </c>
      <c r="E308" s="89">
        <v>15240</v>
      </c>
      <c r="F308" s="79">
        <v>4</v>
      </c>
      <c r="G308" s="90" t="s">
        <v>54</v>
      </c>
      <c r="H308" s="90">
        <v>2</v>
      </c>
      <c r="I308" s="76">
        <v>7.7070167748427901E-4</v>
      </c>
      <c r="J308" s="77">
        <v>99413.966809519625</v>
      </c>
      <c r="K308" s="77">
        <v>76.618510985455941</v>
      </c>
      <c r="L308" s="77">
        <v>99375.657554026897</v>
      </c>
      <c r="M308" s="77">
        <v>7519526.4364560544</v>
      </c>
      <c r="N308" s="78">
        <v>75.63853126255097</v>
      </c>
      <c r="O308" s="78"/>
      <c r="P308" s="78"/>
      <c r="Q308" s="78"/>
      <c r="R308" s="78"/>
      <c r="S308" s="78"/>
    </row>
    <row r="309" spans="1:20">
      <c r="A309" s="74" t="s">
        <v>57</v>
      </c>
      <c r="B309" s="89">
        <v>15496</v>
      </c>
      <c r="C309" s="89">
        <v>15431</v>
      </c>
      <c r="D309" s="89">
        <v>15512</v>
      </c>
      <c r="E309" s="89">
        <v>15463</v>
      </c>
      <c r="F309" s="79">
        <v>5</v>
      </c>
      <c r="G309" s="79">
        <v>3</v>
      </c>
      <c r="H309" s="79">
        <v>4</v>
      </c>
      <c r="I309" s="76">
        <v>1.0479470525123376E-3</v>
      </c>
      <c r="J309" s="77">
        <v>99337.348298534169</v>
      </c>
      <c r="K309" s="77">
        <v>104.10028135383618</v>
      </c>
      <c r="L309" s="77">
        <v>99285.298157857251</v>
      </c>
      <c r="M309" s="77">
        <v>7022648.1486859201</v>
      </c>
      <c r="N309" s="78">
        <v>70.694942727694567</v>
      </c>
      <c r="O309" s="78"/>
      <c r="P309" s="78"/>
      <c r="Q309" s="78"/>
      <c r="R309" s="78"/>
      <c r="S309" s="78"/>
    </row>
    <row r="310" spans="1:20">
      <c r="A310" s="74" t="s">
        <v>58</v>
      </c>
      <c r="B310" s="89">
        <v>14803</v>
      </c>
      <c r="C310" s="89">
        <v>14976</v>
      </c>
      <c r="D310" s="89">
        <v>15045</v>
      </c>
      <c r="E310" s="89">
        <v>15129</v>
      </c>
      <c r="F310" s="79">
        <v>3</v>
      </c>
      <c r="G310" s="79">
        <v>6</v>
      </c>
      <c r="H310" s="79">
        <v>2</v>
      </c>
      <c r="I310" s="76">
        <v>1.3618918926897503E-3</v>
      </c>
      <c r="J310" s="77">
        <v>99233.248017180333</v>
      </c>
      <c r="K310" s="77">
        <v>135.14495595986955</v>
      </c>
      <c r="L310" s="77">
        <v>99165.675539200398</v>
      </c>
      <c r="M310" s="77">
        <v>6526221.6578966342</v>
      </c>
      <c r="N310" s="78">
        <v>65.766482386697092</v>
      </c>
      <c r="O310" s="78"/>
      <c r="P310" s="78"/>
      <c r="Q310" s="78"/>
      <c r="R310" s="78"/>
      <c r="S310" s="78"/>
    </row>
    <row r="311" spans="1:20">
      <c r="A311" s="74" t="s">
        <v>59</v>
      </c>
      <c r="B311" s="89">
        <v>15387</v>
      </c>
      <c r="C311" s="89">
        <v>14844</v>
      </c>
      <c r="D311" s="89">
        <v>14564</v>
      </c>
      <c r="E311" s="89">
        <v>14517</v>
      </c>
      <c r="F311" s="79">
        <v>5</v>
      </c>
      <c r="G311" s="79">
        <v>5</v>
      </c>
      <c r="H311" s="79">
        <v>4</v>
      </c>
      <c r="I311" s="76">
        <v>1.4565156083952203E-3</v>
      </c>
      <c r="J311" s="77">
        <v>99098.103061220463</v>
      </c>
      <c r="K311" s="77">
        <v>144.33793387102196</v>
      </c>
      <c r="L311" s="77">
        <v>99025.934094284952</v>
      </c>
      <c r="M311" s="77">
        <v>6030393.2802006323</v>
      </c>
      <c r="N311" s="78">
        <v>60.85276199964391</v>
      </c>
      <c r="O311" s="78"/>
      <c r="P311" s="78"/>
      <c r="Q311" s="78"/>
      <c r="R311" s="78"/>
      <c r="S311" s="78"/>
    </row>
    <row r="312" spans="1:20">
      <c r="A312" s="74" t="s">
        <v>60</v>
      </c>
      <c r="B312" s="89">
        <v>18042</v>
      </c>
      <c r="C312" s="89">
        <v>17169</v>
      </c>
      <c r="D312" s="89">
        <v>16338</v>
      </c>
      <c r="E312" s="89">
        <v>15860</v>
      </c>
      <c r="F312" s="79">
        <v>3</v>
      </c>
      <c r="G312" s="79">
        <v>3</v>
      </c>
      <c r="H312" s="79">
        <v>10</v>
      </c>
      <c r="I312" s="76">
        <v>1.5907113659102859E-3</v>
      </c>
      <c r="J312" s="77">
        <v>98953.765127349441</v>
      </c>
      <c r="K312" s="77">
        <v>157.40687888769025</v>
      </c>
      <c r="L312" s="77">
        <v>98875.061687905603</v>
      </c>
      <c r="M312" s="77">
        <v>5535263.6097292071</v>
      </c>
      <c r="N312" s="78">
        <v>55.937877680607194</v>
      </c>
      <c r="O312" s="78"/>
      <c r="P312" s="78"/>
      <c r="Q312" s="78"/>
      <c r="R312" s="78"/>
      <c r="S312" s="78"/>
    </row>
    <row r="313" spans="1:20">
      <c r="A313" s="74" t="s">
        <v>61</v>
      </c>
      <c r="B313" s="89">
        <v>20474</v>
      </c>
      <c r="C313" s="89">
        <v>20043</v>
      </c>
      <c r="D313" s="89">
        <v>19495</v>
      </c>
      <c r="E313" s="89">
        <v>18830</v>
      </c>
      <c r="F313" s="79">
        <v>8</v>
      </c>
      <c r="G313" s="79">
        <v>7</v>
      </c>
      <c r="H313" s="79">
        <v>10</v>
      </c>
      <c r="I313" s="76">
        <v>2.2845068005295892E-3</v>
      </c>
      <c r="J313" s="77">
        <v>98796.358248461751</v>
      </c>
      <c r="K313" s="77">
        <v>225.7009522861772</v>
      </c>
      <c r="L313" s="77">
        <v>98683.50777231867</v>
      </c>
      <c r="M313" s="77">
        <v>5040888.3012896795</v>
      </c>
      <c r="N313" s="78">
        <v>51.023017352647869</v>
      </c>
      <c r="O313" s="78"/>
      <c r="P313" s="78"/>
      <c r="Q313" s="78"/>
      <c r="R313" s="78"/>
      <c r="S313" s="78"/>
    </row>
    <row r="314" spans="1:20">
      <c r="A314" s="74" t="s">
        <v>62</v>
      </c>
      <c r="B314" s="89">
        <v>22657</v>
      </c>
      <c r="C314" s="89">
        <v>22220</v>
      </c>
      <c r="D314" s="89">
        <v>21764</v>
      </c>
      <c r="E314" s="89">
        <v>20974</v>
      </c>
      <c r="F314" s="79">
        <v>17</v>
      </c>
      <c r="G314" s="79">
        <v>21</v>
      </c>
      <c r="H314" s="79">
        <v>14</v>
      </c>
      <c r="I314" s="76">
        <v>3.5215432768044776E-3</v>
      </c>
      <c r="J314" s="77">
        <v>98570.657296175574</v>
      </c>
      <c r="K314" s="77">
        <v>347.1208354915434</v>
      </c>
      <c r="L314" s="77">
        <v>98397.096878429802</v>
      </c>
      <c r="M314" s="77">
        <v>4547470.7624280863</v>
      </c>
      <c r="N314" s="78">
        <v>46.134122335861939</v>
      </c>
      <c r="O314" s="78"/>
      <c r="P314" s="78"/>
      <c r="Q314" s="78"/>
      <c r="R314" s="78"/>
      <c r="S314" s="78"/>
      <c r="T314" s="68" t="s">
        <v>79</v>
      </c>
    </row>
    <row r="315" spans="1:20">
      <c r="A315" s="74" t="s">
        <v>64</v>
      </c>
      <c r="B315" s="89">
        <v>23966</v>
      </c>
      <c r="C315" s="89">
        <v>23451</v>
      </c>
      <c r="D315" s="89">
        <v>22919</v>
      </c>
      <c r="E315" s="89">
        <v>22479</v>
      </c>
      <c r="F315" s="79">
        <v>26</v>
      </c>
      <c r="G315" s="79">
        <v>26</v>
      </c>
      <c r="H315" s="79">
        <v>25</v>
      </c>
      <c r="I315" s="76">
        <v>6.1629072406189514E-3</v>
      </c>
      <c r="J315" s="77">
        <v>98223.53646068403</v>
      </c>
      <c r="K315" s="77">
        <v>605.34254405274987</v>
      </c>
      <c r="L315" s="77">
        <v>97920.865188657655</v>
      </c>
      <c r="M315" s="77">
        <v>4055485.2780359369</v>
      </c>
      <c r="N315" s="78">
        <v>41.288324816722799</v>
      </c>
      <c r="O315" s="78"/>
      <c r="P315" s="78"/>
      <c r="Q315" s="78"/>
      <c r="R315" s="78"/>
      <c r="S315" s="78" t="s">
        <v>67</v>
      </c>
      <c r="T315" s="104">
        <f>'nový výpočet'!R51</f>
        <v>0.73357594100818813</v>
      </c>
    </row>
    <row r="316" spans="1:20">
      <c r="A316" s="74" t="s">
        <v>66</v>
      </c>
      <c r="B316" s="89">
        <v>24306</v>
      </c>
      <c r="C316" s="89">
        <v>24670</v>
      </c>
      <c r="D316" s="89">
        <v>24761</v>
      </c>
      <c r="E316" s="89">
        <v>24631</v>
      </c>
      <c r="F316" s="79">
        <v>62</v>
      </c>
      <c r="G316" s="79">
        <v>60</v>
      </c>
      <c r="H316" s="79">
        <v>42</v>
      </c>
      <c r="I316" s="76">
        <v>1.028686691110829E-2</v>
      </c>
      <c r="J316" s="77">
        <v>97618.19391663128</v>
      </c>
      <c r="K316" s="77">
        <v>1004.1853689231502</v>
      </c>
      <c r="L316" s="77">
        <v>97116.101232169705</v>
      </c>
      <c r="M316" s="77">
        <v>3565880.9520926485</v>
      </c>
      <c r="N316" s="78">
        <v>36.528856036181253</v>
      </c>
      <c r="O316" s="96">
        <f>T315*L316*5</f>
        <v>356210.17674217676</v>
      </c>
      <c r="P316" s="96">
        <f>SUM(O316:O324)</f>
        <v>1643049.1584370963</v>
      </c>
      <c r="Q316" s="78"/>
      <c r="R316" s="78"/>
      <c r="S316" s="78" t="s">
        <v>70</v>
      </c>
      <c r="T316" s="104">
        <f>'nový výpočet'!S51</f>
        <v>0.49299999999999999</v>
      </c>
    </row>
    <row r="317" spans="1:20">
      <c r="A317" s="74" t="s">
        <v>68</v>
      </c>
      <c r="B317" s="89">
        <v>20496</v>
      </c>
      <c r="C317" s="89">
        <v>20797</v>
      </c>
      <c r="D317" s="89">
        <v>21501</v>
      </c>
      <c r="E317" s="89">
        <v>22312</v>
      </c>
      <c r="F317" s="79">
        <v>72</v>
      </c>
      <c r="G317" s="79">
        <v>67</v>
      </c>
      <c r="H317" s="79">
        <v>66</v>
      </c>
      <c r="I317" s="76">
        <v>1.6354960635061682E-2</v>
      </c>
      <c r="J317" s="77">
        <v>96614.00854770813</v>
      </c>
      <c r="K317" s="77">
        <v>1580.1183065932855</v>
      </c>
      <c r="L317" s="77">
        <v>95823.949394411495</v>
      </c>
      <c r="M317" s="77">
        <v>3080300.4459318002</v>
      </c>
      <c r="N317" s="78">
        <v>31.882544697550184</v>
      </c>
      <c r="O317" s="96">
        <f>T315*L317*5</f>
        <v>351470.71924063202</v>
      </c>
      <c r="P317" s="96">
        <f t="shared" ref="P317:P324" si="24">SUM(O317:O325)</f>
        <v>1286838.9816949195</v>
      </c>
      <c r="Q317" s="78">
        <f>P317/J317</f>
        <v>13.31938298636555</v>
      </c>
      <c r="R317" s="78" t="str">
        <f>R294</f>
        <v>AAI 4.2</v>
      </c>
      <c r="S317" s="78" t="s">
        <v>12</v>
      </c>
      <c r="T317" s="104">
        <f>'nový výpočet'!T51</f>
        <v>0.3565707762762384</v>
      </c>
    </row>
    <row r="318" spans="1:20">
      <c r="A318" s="74" t="s">
        <v>71</v>
      </c>
      <c r="B318" s="89">
        <v>22074</v>
      </c>
      <c r="C318" s="89">
        <v>21801</v>
      </c>
      <c r="D318" s="89">
        <v>21188</v>
      </c>
      <c r="E318" s="89">
        <v>20666</v>
      </c>
      <c r="F318" s="79">
        <v>110</v>
      </c>
      <c r="G318" s="79">
        <v>125</v>
      </c>
      <c r="H318" s="79">
        <v>104</v>
      </c>
      <c r="I318" s="76">
        <v>2.5689644002944333E-2</v>
      </c>
      <c r="J318" s="77">
        <v>95033.890241114845</v>
      </c>
      <c r="K318" s="77">
        <v>2441.3868085091235</v>
      </c>
      <c r="L318" s="77">
        <v>93813.196836860283</v>
      </c>
      <c r="M318" s="77">
        <v>2601180.6989597427</v>
      </c>
      <c r="N318" s="78">
        <v>27.37108511879465</v>
      </c>
      <c r="O318" s="96">
        <f>T316*L318*5</f>
        <v>231249.53020286059</v>
      </c>
      <c r="P318" s="96">
        <f t="shared" si="24"/>
        <v>935368.26245428738</v>
      </c>
      <c r="Q318" s="78">
        <f t="shared" ref="Q318:Q324" si="25">P318/J318</f>
        <v>9.842470513215039</v>
      </c>
      <c r="R318" s="97">
        <f>(AVERAGE(Q317:Q318)/AVERAGE(N317:N318))</f>
        <v>0.39089341144787554</v>
      </c>
      <c r="S318" s="78" t="s">
        <v>13</v>
      </c>
      <c r="T318" s="104">
        <f>'nový výpočet'!U51</f>
        <v>0.25789598071853803</v>
      </c>
    </row>
    <row r="319" spans="1:20">
      <c r="A319" s="74" t="s">
        <v>72</v>
      </c>
      <c r="B319" s="89">
        <v>22359</v>
      </c>
      <c r="C319" s="89">
        <v>21861</v>
      </c>
      <c r="D319" s="89">
        <v>21596</v>
      </c>
      <c r="E319" s="89">
        <v>21646</v>
      </c>
      <c r="F319" s="79">
        <v>190</v>
      </c>
      <c r="G319" s="79">
        <v>188</v>
      </c>
      <c r="H319" s="79">
        <v>178</v>
      </c>
      <c r="I319" s="76">
        <v>4.2049892689288555E-2</v>
      </c>
      <c r="J319" s="77">
        <v>92592.503432605721</v>
      </c>
      <c r="K319" s="77">
        <v>3893.5048331736616</v>
      </c>
      <c r="L319" s="77">
        <v>90645.751016018883</v>
      </c>
      <c r="M319" s="77">
        <v>2132114.7147754412</v>
      </c>
      <c r="N319" s="78">
        <v>23.026861092780798</v>
      </c>
      <c r="O319" s="96">
        <f>T316*L319*5</f>
        <v>223441.77625448653</v>
      </c>
      <c r="P319" s="96">
        <f t="shared" si="24"/>
        <v>704118.7322514269</v>
      </c>
      <c r="Q319" s="78">
        <f t="shared" si="25"/>
        <v>7.604489630890324</v>
      </c>
      <c r="R319" s="78"/>
      <c r="S319" s="78" t="s">
        <v>14</v>
      </c>
      <c r="T319" s="104">
        <f>'nový výpočet'!V51</f>
        <v>2.5000000000000001E-2</v>
      </c>
    </row>
    <row r="320" spans="1:20">
      <c r="A320" s="74" t="s">
        <v>73</v>
      </c>
      <c r="B320" s="89">
        <v>22655</v>
      </c>
      <c r="C320" s="89">
        <v>22561</v>
      </c>
      <c r="D320" s="89">
        <v>22385</v>
      </c>
      <c r="E320" s="89">
        <v>21976</v>
      </c>
      <c r="F320" s="79">
        <v>321</v>
      </c>
      <c r="G320" s="79">
        <v>323</v>
      </c>
      <c r="H320" s="79">
        <v>296</v>
      </c>
      <c r="I320" s="76">
        <v>6.5862485882194066E-2</v>
      </c>
      <c r="J320" s="77">
        <v>88698.99859943206</v>
      </c>
      <c r="K320" s="77">
        <v>5841.9365430198523</v>
      </c>
      <c r="L320" s="77">
        <v>85778.030327922141</v>
      </c>
      <c r="M320" s="77">
        <v>1678885.9596953469</v>
      </c>
      <c r="N320" s="78">
        <v>18.927902075617084</v>
      </c>
      <c r="O320" s="96">
        <f>T317*L320*5</f>
        <v>152929.69430736959</v>
      </c>
      <c r="P320" s="96">
        <f t="shared" si="24"/>
        <v>480676.95599694026</v>
      </c>
      <c r="Q320" s="78">
        <f t="shared" si="25"/>
        <v>5.419192590523993</v>
      </c>
      <c r="R320" s="78"/>
      <c r="S320" s="78"/>
    </row>
    <row r="321" spans="1:19">
      <c r="A321" s="74" t="s">
        <v>74</v>
      </c>
      <c r="B321" s="89">
        <v>18371</v>
      </c>
      <c r="C321" s="89">
        <v>19009</v>
      </c>
      <c r="D321" s="89">
        <v>19663</v>
      </c>
      <c r="E321" s="89">
        <v>20174</v>
      </c>
      <c r="F321" s="79">
        <v>408</v>
      </c>
      <c r="G321" s="79">
        <v>416</v>
      </c>
      <c r="H321" s="79">
        <v>428</v>
      </c>
      <c r="I321" s="76">
        <v>0.10113964252936412</v>
      </c>
      <c r="J321" s="77">
        <v>82857.062056412207</v>
      </c>
      <c r="K321" s="77">
        <v>8380.1336374188686</v>
      </c>
      <c r="L321" s="77">
        <v>78666.995237702766</v>
      </c>
      <c r="M321" s="77">
        <v>1249995.8080557361</v>
      </c>
      <c r="N321" s="78">
        <v>15.086171015871791</v>
      </c>
      <c r="O321" s="96">
        <f>T317*L321*5</f>
        <v>140251.7577961341</v>
      </c>
      <c r="P321" s="96">
        <f t="shared" si="24"/>
        <v>327747.26168957067</v>
      </c>
      <c r="Q321" s="78">
        <f t="shared" si="25"/>
        <v>3.9555742571034922</v>
      </c>
      <c r="R321" s="78"/>
      <c r="S321" s="78"/>
    </row>
    <row r="322" spans="1:19">
      <c r="A322" s="74" t="s">
        <v>75</v>
      </c>
      <c r="B322" s="89">
        <v>12410</v>
      </c>
      <c r="C322" s="89">
        <v>12874</v>
      </c>
      <c r="D322" s="89">
        <v>13519</v>
      </c>
      <c r="E322" s="89">
        <v>14165</v>
      </c>
      <c r="F322" s="79">
        <v>517</v>
      </c>
      <c r="G322" s="79">
        <v>483</v>
      </c>
      <c r="H322" s="79">
        <v>457</v>
      </c>
      <c r="I322" s="76">
        <v>0.16503242437285115</v>
      </c>
      <c r="J322" s="77">
        <v>74476.928418993339</v>
      </c>
      <c r="K322" s="77">
        <v>12291.108056829769</v>
      </c>
      <c r="L322" s="77">
        <v>68331.37439057845</v>
      </c>
      <c r="M322" s="77">
        <v>856660.83186722244</v>
      </c>
      <c r="N322" s="78">
        <v>11.502365229777039</v>
      </c>
      <c r="O322" s="96">
        <f>T318*L322*5</f>
        <v>88111.934061519118</v>
      </c>
      <c r="P322" s="96">
        <f t="shared" si="24"/>
        <v>187495.50389343657</v>
      </c>
      <c r="Q322" s="78">
        <f t="shared" si="25"/>
        <v>2.5174978060134512</v>
      </c>
      <c r="R322" s="78"/>
      <c r="S322" s="78"/>
    </row>
    <row r="323" spans="1:19">
      <c r="A323" s="74" t="s">
        <v>76</v>
      </c>
      <c r="B323" s="89">
        <v>8650</v>
      </c>
      <c r="C323" s="89">
        <v>9000</v>
      </c>
      <c r="D323" s="89">
        <v>9185</v>
      </c>
      <c r="E323" s="89">
        <v>9379</v>
      </c>
      <c r="F323" s="79">
        <v>683</v>
      </c>
      <c r="G323" s="79">
        <v>607</v>
      </c>
      <c r="H323" s="79">
        <v>672</v>
      </c>
      <c r="I323" s="76">
        <v>0.30556464047096199</v>
      </c>
      <c r="J323" s="77">
        <v>62185.820362163569</v>
      </c>
      <c r="K323" s="77">
        <v>19001.787841356338</v>
      </c>
      <c r="L323" s="77">
        <v>52684.926441485397</v>
      </c>
      <c r="M323" s="77">
        <v>515003.95991433016</v>
      </c>
      <c r="N323" s="78">
        <v>8.2816943945581514</v>
      </c>
      <c r="O323" s="96">
        <f>T318*L323*5</f>
        <v>67936.153868554567</v>
      </c>
      <c r="P323" s="96">
        <f t="shared" si="24"/>
        <v>99383.56983191747</v>
      </c>
      <c r="Q323" s="78">
        <f t="shared" si="25"/>
        <v>1.5981709214917192</v>
      </c>
      <c r="R323" s="78"/>
      <c r="S323" s="78"/>
    </row>
    <row r="324" spans="1:19">
      <c r="A324" s="74" t="s">
        <v>14</v>
      </c>
      <c r="B324" s="89">
        <v>6611</v>
      </c>
      <c r="C324" s="89">
        <v>6582</v>
      </c>
      <c r="D324" s="89">
        <v>6798</v>
      </c>
      <c r="E324" s="89">
        <v>7083</v>
      </c>
      <c r="F324" s="74">
        <v>1234</v>
      </c>
      <c r="G324" s="74">
        <v>1115</v>
      </c>
      <c r="H324" s="74">
        <v>1123</v>
      </c>
      <c r="I324" s="76">
        <v>0.60054658041304876</v>
      </c>
      <c r="J324" s="77">
        <v>43184.032520807232</v>
      </c>
      <c r="K324" s="77">
        <v>43184.032520807232</v>
      </c>
      <c r="L324" s="77">
        <v>251579.32770690319</v>
      </c>
      <c r="M324" s="77">
        <v>251579.32770690319</v>
      </c>
      <c r="N324" s="78">
        <v>5.8257488479262669</v>
      </c>
      <c r="O324" s="96">
        <f>T319*L324*5</f>
        <v>31447.415963362902</v>
      </c>
      <c r="P324" s="96">
        <f t="shared" si="24"/>
        <v>31447.415963362902</v>
      </c>
      <c r="Q324" s="78">
        <f t="shared" si="25"/>
        <v>0.72821860599078347</v>
      </c>
      <c r="R324" s="78"/>
    </row>
    <row r="325" spans="1:19">
      <c r="N325" s="78"/>
      <c r="O325" s="78"/>
      <c r="P325" s="78"/>
      <c r="Q325" s="78"/>
      <c r="R325" s="78"/>
      <c r="S325" s="78"/>
    </row>
    <row r="326" spans="1:19">
      <c r="N326" s="78"/>
      <c r="O326" s="78"/>
      <c r="P326" s="78"/>
      <c r="Q326" s="78"/>
      <c r="R326" s="78"/>
      <c r="S326" s="86"/>
    </row>
    <row r="327" spans="1:19">
      <c r="B327" s="149" t="s">
        <v>42</v>
      </c>
      <c r="C327" s="150"/>
      <c r="D327" s="150"/>
      <c r="E327" s="151"/>
      <c r="F327" s="149" t="s">
        <v>43</v>
      </c>
      <c r="G327" s="150"/>
      <c r="H327" s="151"/>
      <c r="I327" s="152" t="s">
        <v>44</v>
      </c>
      <c r="J327" s="153"/>
      <c r="K327" s="153"/>
      <c r="L327" s="153"/>
      <c r="M327" s="153"/>
      <c r="N327" s="154"/>
      <c r="O327" s="86"/>
      <c r="P327" s="86"/>
      <c r="Q327" s="86"/>
      <c r="R327" s="86"/>
      <c r="S327" s="88"/>
    </row>
    <row r="328" spans="1:19">
      <c r="A328" s="74" t="s">
        <v>28</v>
      </c>
      <c r="B328" s="69">
        <v>2021</v>
      </c>
      <c r="C328" s="69">
        <v>2022</v>
      </c>
      <c r="D328" s="69">
        <v>2023</v>
      </c>
      <c r="E328" s="69">
        <v>2024</v>
      </c>
      <c r="F328" s="69">
        <v>2022</v>
      </c>
      <c r="G328" s="69">
        <v>2023</v>
      </c>
      <c r="H328" s="69">
        <v>2024</v>
      </c>
      <c r="I328" s="70" t="s">
        <v>46</v>
      </c>
      <c r="J328" s="71" t="s">
        <v>47</v>
      </c>
      <c r="K328" s="71" t="s">
        <v>48</v>
      </c>
      <c r="L328" s="71" t="s">
        <v>49</v>
      </c>
      <c r="M328" s="71" t="s">
        <v>50</v>
      </c>
      <c r="N328" s="72" t="s">
        <v>51</v>
      </c>
      <c r="O328" s="88"/>
      <c r="P328" s="88"/>
      <c r="Q328" s="88"/>
      <c r="R328" s="88"/>
      <c r="S328" s="78"/>
    </row>
    <row r="329" spans="1:19">
      <c r="A329" s="74" t="s">
        <v>54</v>
      </c>
      <c r="B329" s="74">
        <v>4878</v>
      </c>
      <c r="C329" s="74">
        <v>4812</v>
      </c>
      <c r="D329" s="89">
        <v>4478</v>
      </c>
      <c r="E329" s="89">
        <v>4476</v>
      </c>
      <c r="F329" s="74">
        <v>40</v>
      </c>
      <c r="G329" s="74">
        <v>37</v>
      </c>
      <c r="H329" s="74">
        <v>32</v>
      </c>
      <c r="I329" s="76">
        <v>7.9180589859073076E-3</v>
      </c>
      <c r="J329" s="77">
        <v>100000</v>
      </c>
      <c r="K329" s="77">
        <v>791.80589859074098</v>
      </c>
      <c r="L329" s="77">
        <v>99287.374691268327</v>
      </c>
      <c r="M329" s="77">
        <v>8157150.3882306963</v>
      </c>
      <c r="N329" s="78">
        <v>81.571503882306956</v>
      </c>
      <c r="O329" s="78"/>
      <c r="P329" s="78"/>
      <c r="Q329" s="78"/>
      <c r="R329" s="78"/>
      <c r="S329" s="78"/>
    </row>
    <row r="330" spans="1:19">
      <c r="A330" s="74" t="s">
        <v>55</v>
      </c>
      <c r="B330" s="74">
        <v>19802</v>
      </c>
      <c r="C330" s="74">
        <v>19691</v>
      </c>
      <c r="D330" s="89">
        <v>19613</v>
      </c>
      <c r="E330" s="89">
        <v>19240</v>
      </c>
      <c r="F330" s="74">
        <v>12</v>
      </c>
      <c r="G330" s="74">
        <v>7</v>
      </c>
      <c r="H330" s="74">
        <v>5</v>
      </c>
      <c r="I330" s="76">
        <v>1.6306286413126558E-3</v>
      </c>
      <c r="J330" s="77">
        <v>99208.194101409259</v>
      </c>
      <c r="K330" s="77">
        <v>161.77172275466728</v>
      </c>
      <c r="L330" s="77">
        <v>99127.308240031925</v>
      </c>
      <c r="M330" s="77">
        <v>8057863.0135394279</v>
      </c>
      <c r="N330" s="78">
        <v>81.221748732799128</v>
      </c>
      <c r="O330" s="78"/>
      <c r="P330" s="78"/>
      <c r="Q330" s="78"/>
      <c r="R330" s="78"/>
      <c r="S330" s="78"/>
    </row>
    <row r="331" spans="1:19">
      <c r="A331" s="74" t="s">
        <v>56</v>
      </c>
      <c r="B331" s="74">
        <v>24141</v>
      </c>
      <c r="C331" s="74">
        <v>24476</v>
      </c>
      <c r="D331" s="89">
        <v>24623</v>
      </c>
      <c r="E331" s="89">
        <v>24870</v>
      </c>
      <c r="F331" s="79">
        <v>6</v>
      </c>
      <c r="G331" s="79">
        <v>1</v>
      </c>
      <c r="H331" s="79">
        <v>6</v>
      </c>
      <c r="I331" s="76">
        <v>5.3468345167790254E-4</v>
      </c>
      <c r="J331" s="77">
        <v>99046.422378654592</v>
      </c>
      <c r="K331" s="77">
        <v>52.958482993766665</v>
      </c>
      <c r="L331" s="77">
        <v>99019.943137157708</v>
      </c>
      <c r="M331" s="77">
        <v>7661353.7805793006</v>
      </c>
      <c r="N331" s="78">
        <v>77.351140975995435</v>
      </c>
      <c r="O331" s="78"/>
      <c r="P331" s="78"/>
      <c r="Q331" s="78"/>
      <c r="R331" s="78"/>
      <c r="S331" s="78"/>
    </row>
    <row r="332" spans="1:19">
      <c r="A332" s="74" t="s">
        <v>57</v>
      </c>
      <c r="B332" s="74">
        <v>23794</v>
      </c>
      <c r="C332" s="74">
        <v>24032</v>
      </c>
      <c r="D332" s="89">
        <v>24127</v>
      </c>
      <c r="E332" s="89">
        <v>23896</v>
      </c>
      <c r="F332" s="79">
        <v>5</v>
      </c>
      <c r="G332" s="79">
        <v>1</v>
      </c>
      <c r="H332" s="79">
        <v>3</v>
      </c>
      <c r="I332" s="76">
        <v>5.9416508767285282E-4</v>
      </c>
      <c r="J332" s="77">
        <v>98993.463895660825</v>
      </c>
      <c r="K332" s="77">
        <v>58.818460154609056</v>
      </c>
      <c r="L332" s="77">
        <v>98964.054665583521</v>
      </c>
      <c r="M332" s="77">
        <v>7166254.0648935121</v>
      </c>
      <c r="N332" s="78">
        <v>72.391184052785022</v>
      </c>
      <c r="O332" s="78"/>
      <c r="P332" s="78"/>
      <c r="Q332" s="78"/>
      <c r="R332" s="78"/>
      <c r="S332" s="78"/>
    </row>
    <row r="333" spans="1:19">
      <c r="A333" s="74" t="s">
        <v>58</v>
      </c>
      <c r="B333" s="74">
        <v>22437</v>
      </c>
      <c r="C333" s="74">
        <v>22455</v>
      </c>
      <c r="D333" s="89">
        <v>22729</v>
      </c>
      <c r="E333" s="89">
        <v>23169</v>
      </c>
      <c r="F333" s="79">
        <v>1</v>
      </c>
      <c r="G333" s="79">
        <v>3</v>
      </c>
      <c r="H333" s="79">
        <v>4</v>
      </c>
      <c r="I333" s="76">
        <v>6.1154995927917028E-4</v>
      </c>
      <c r="J333" s="77">
        <v>98934.645435506216</v>
      </c>
      <c r="K333" s="77">
        <v>60.503478387385258</v>
      </c>
      <c r="L333" s="77">
        <v>98904.393696312531</v>
      </c>
      <c r="M333" s="77">
        <v>6671433.7915655943</v>
      </c>
      <c r="N333" s="78">
        <v>67.432735642789424</v>
      </c>
      <c r="O333" s="78"/>
      <c r="P333" s="78"/>
      <c r="Q333" s="78"/>
      <c r="R333" s="78"/>
      <c r="S333" s="78"/>
    </row>
    <row r="334" spans="1:19">
      <c r="A334" s="74" t="s">
        <v>59</v>
      </c>
      <c r="B334" s="74">
        <v>24116</v>
      </c>
      <c r="C334" s="74">
        <v>23526</v>
      </c>
      <c r="D334" s="89">
        <v>23007</v>
      </c>
      <c r="E334" s="89">
        <v>22599</v>
      </c>
      <c r="F334" s="79">
        <v>6</v>
      </c>
      <c r="G334" s="79">
        <v>4</v>
      </c>
      <c r="H334" s="79">
        <v>3</v>
      </c>
      <c r="I334" s="76">
        <v>9.6497324766521477E-4</v>
      </c>
      <c r="J334" s="77">
        <v>98874.141957118831</v>
      </c>
      <c r="K334" s="77">
        <v>95.410901874463889</v>
      </c>
      <c r="L334" s="77">
        <v>98826.436506181606</v>
      </c>
      <c r="M334" s="77">
        <v>6176911.8230840312</v>
      </c>
      <c r="N334" s="78">
        <v>62.47246955389938</v>
      </c>
      <c r="O334" s="78"/>
      <c r="P334" s="78"/>
      <c r="Q334" s="78"/>
      <c r="R334" s="78"/>
      <c r="S334" s="78"/>
    </row>
    <row r="335" spans="1:19">
      <c r="A335" s="74" t="s">
        <v>60</v>
      </c>
      <c r="B335" s="74">
        <v>27176</v>
      </c>
      <c r="C335" s="74">
        <v>26043</v>
      </c>
      <c r="D335" s="89">
        <v>25031</v>
      </c>
      <c r="E335" s="89">
        <v>24320</v>
      </c>
      <c r="F335" s="79">
        <v>3</v>
      </c>
      <c r="G335" s="79">
        <v>13</v>
      </c>
      <c r="H335" s="79">
        <v>7</v>
      </c>
      <c r="I335" s="76">
        <v>1.3038305212656727E-3</v>
      </c>
      <c r="J335" s="77">
        <v>98778.731055244367</v>
      </c>
      <c r="K335" s="77">
        <v>128.79072440172604</v>
      </c>
      <c r="L335" s="77">
        <v>98714.335693043511</v>
      </c>
      <c r="M335" s="77">
        <v>5682779.6405531233</v>
      </c>
      <c r="N335" s="78">
        <v>57.530397281322564</v>
      </c>
      <c r="O335" s="78"/>
      <c r="P335" s="78"/>
      <c r="Q335" s="78"/>
      <c r="R335" s="78"/>
      <c r="S335" s="78"/>
    </row>
    <row r="336" spans="1:19">
      <c r="A336" s="74" t="s">
        <v>61</v>
      </c>
      <c r="B336" s="74">
        <v>28644</v>
      </c>
      <c r="C336" s="74">
        <v>28360</v>
      </c>
      <c r="D336" s="89">
        <v>28035</v>
      </c>
      <c r="E336" s="89">
        <v>27583</v>
      </c>
      <c r="F336" s="79">
        <v>14</v>
      </c>
      <c r="G336" s="79">
        <v>8</v>
      </c>
      <c r="H336" s="79">
        <v>6</v>
      </c>
      <c r="I336" s="76">
        <v>1.944290539057575E-3</v>
      </c>
      <c r="J336" s="77">
        <v>98649.940330842641</v>
      </c>
      <c r="K336" s="77">
        <v>191.8041456638457</v>
      </c>
      <c r="L336" s="77">
        <v>98554.038258010725</v>
      </c>
      <c r="M336" s="77">
        <v>5189207.962087906</v>
      </c>
      <c r="N336" s="78">
        <v>52.60224126527438</v>
      </c>
      <c r="O336" s="78"/>
      <c r="P336" s="78"/>
      <c r="Q336" s="78"/>
      <c r="R336" s="78"/>
      <c r="S336" s="78"/>
    </row>
    <row r="337" spans="1:20">
      <c r="A337" s="74" t="s">
        <v>62</v>
      </c>
      <c r="B337" s="74">
        <v>28567</v>
      </c>
      <c r="C337" s="74">
        <v>28560</v>
      </c>
      <c r="D337" s="89">
        <v>28371</v>
      </c>
      <c r="E337" s="89">
        <v>28100</v>
      </c>
      <c r="F337" s="79">
        <v>17</v>
      </c>
      <c r="G337" s="79">
        <v>22</v>
      </c>
      <c r="H337" s="79">
        <v>19</v>
      </c>
      <c r="I337" s="76">
        <v>3.0520924875316229E-3</v>
      </c>
      <c r="J337" s="77">
        <v>98458.136185178795</v>
      </c>
      <c r="K337" s="77">
        <v>300.50333778714412</v>
      </c>
      <c r="L337" s="77">
        <v>98307.884516285223</v>
      </c>
      <c r="M337" s="77">
        <v>4696437.7707978524</v>
      </c>
      <c r="N337" s="78">
        <v>47.699844347701777</v>
      </c>
      <c r="O337" s="78"/>
      <c r="P337" s="78"/>
      <c r="Q337" s="78"/>
      <c r="R337" s="78"/>
      <c r="S337" s="78"/>
      <c r="T337" s="68" t="s">
        <v>79</v>
      </c>
    </row>
    <row r="338" spans="1:20">
      <c r="A338" s="74" t="s">
        <v>64</v>
      </c>
      <c r="B338" s="74">
        <v>28733</v>
      </c>
      <c r="C338" s="74">
        <v>28585</v>
      </c>
      <c r="D338" s="89">
        <v>28403</v>
      </c>
      <c r="E338" s="89">
        <v>28146</v>
      </c>
      <c r="F338" s="79">
        <v>28</v>
      </c>
      <c r="G338" s="79">
        <v>23</v>
      </c>
      <c r="H338" s="79">
        <v>31</v>
      </c>
      <c r="I338" s="76">
        <v>5.0979430633099031E-3</v>
      </c>
      <c r="J338" s="77">
        <v>98157.632847391651</v>
      </c>
      <c r="K338" s="77">
        <v>500.40202348527964</v>
      </c>
      <c r="L338" s="77">
        <v>97907.431835649011</v>
      </c>
      <c r="M338" s="77">
        <v>4204898.3482164266</v>
      </c>
      <c r="N338" s="78">
        <v>42.838220790775352</v>
      </c>
      <c r="O338" s="78"/>
      <c r="P338" s="78"/>
      <c r="Q338" s="78"/>
      <c r="R338" s="78"/>
      <c r="S338" s="78" t="s">
        <v>67</v>
      </c>
      <c r="T338" s="104">
        <f>'nový výpočet'!R52</f>
        <v>0.6516908940690902</v>
      </c>
    </row>
    <row r="339" spans="1:20">
      <c r="A339" s="74" t="s">
        <v>66</v>
      </c>
      <c r="B339" s="74">
        <v>28279</v>
      </c>
      <c r="C339" s="74">
        <v>28392</v>
      </c>
      <c r="D339" s="89">
        <v>28399</v>
      </c>
      <c r="E339" s="89">
        <v>28378</v>
      </c>
      <c r="F339" s="79">
        <v>53</v>
      </c>
      <c r="G339" s="79">
        <v>46</v>
      </c>
      <c r="H339" s="79">
        <v>48</v>
      </c>
      <c r="I339" s="76">
        <v>8.3985094560312442E-3</v>
      </c>
      <c r="J339" s="77">
        <v>97657.230823906371</v>
      </c>
      <c r="K339" s="77">
        <v>820.17517652441165</v>
      </c>
      <c r="L339" s="77">
        <v>97247.143235644166</v>
      </c>
      <c r="M339" s="77">
        <v>3715361.1890381817</v>
      </c>
      <c r="N339" s="78">
        <v>38.044916466427857</v>
      </c>
      <c r="O339" s="96">
        <f>T338*L339*5</f>
        <v>316875.38860450912</v>
      </c>
      <c r="P339" s="96">
        <f>SUM(O339:O347)</f>
        <v>1223726.3391517638</v>
      </c>
      <c r="Q339" s="78"/>
      <c r="R339" s="78"/>
      <c r="S339" s="78" t="s">
        <v>70</v>
      </c>
      <c r="T339" s="104">
        <f>'nový výpočet'!S52</f>
        <v>0.27500000000000002</v>
      </c>
    </row>
    <row r="340" spans="1:20">
      <c r="A340" s="74" t="s">
        <v>68</v>
      </c>
      <c r="B340" s="74">
        <v>24618</v>
      </c>
      <c r="C340" s="74">
        <v>25194</v>
      </c>
      <c r="D340" s="89">
        <v>26115</v>
      </c>
      <c r="E340" s="89">
        <v>26841</v>
      </c>
      <c r="F340" s="79">
        <v>74</v>
      </c>
      <c r="G340" s="79">
        <v>67</v>
      </c>
      <c r="H340" s="79">
        <v>67</v>
      </c>
      <c r="I340" s="76">
        <v>1.343235745681115E-2</v>
      </c>
      <c r="J340" s="77">
        <v>96837.05564738196</v>
      </c>
      <c r="K340" s="77">
        <v>1300.7499465207511</v>
      </c>
      <c r="L340" s="77">
        <v>96186.680674121584</v>
      </c>
      <c r="M340" s="77">
        <v>3229125.472859961</v>
      </c>
      <c r="N340" s="78">
        <v>33.345969177525916</v>
      </c>
      <c r="O340" s="96">
        <f>T338*L340*5</f>
        <v>313419.91963028186</v>
      </c>
      <c r="P340" s="96">
        <f t="shared" ref="P340:P347" si="26">SUM(O340:O348)</f>
        <v>906850.95054725464</v>
      </c>
      <c r="Q340" s="78">
        <f>P340/J340</f>
        <v>9.3647100738938232</v>
      </c>
      <c r="R340" s="78" t="str">
        <f>R317</f>
        <v>AAI 4.2</v>
      </c>
      <c r="S340" s="78" t="s">
        <v>12</v>
      </c>
      <c r="T340" s="104">
        <f>'nový výpočet'!T52</f>
        <v>0.21761983619397496</v>
      </c>
    </row>
    <row r="341" spans="1:20">
      <c r="A341" s="74" t="s">
        <v>71</v>
      </c>
      <c r="B341" s="74">
        <v>25235</v>
      </c>
      <c r="C341" s="74">
        <v>24987</v>
      </c>
      <c r="D341" s="89">
        <v>24386</v>
      </c>
      <c r="E341" s="89">
        <v>24257</v>
      </c>
      <c r="F341" s="79">
        <v>108</v>
      </c>
      <c r="G341" s="79">
        <v>97</v>
      </c>
      <c r="H341" s="79">
        <v>103</v>
      </c>
      <c r="I341" s="76">
        <v>2.0249148084602472E-2</v>
      </c>
      <c r="J341" s="77">
        <v>95536.305700861209</v>
      </c>
      <c r="K341" s="77">
        <v>1934.5288015925908</v>
      </c>
      <c r="L341" s="77">
        <v>94569.041300064913</v>
      </c>
      <c r="M341" s="77">
        <v>2748192.0694893529</v>
      </c>
      <c r="N341" s="78">
        <v>28.765944520550782</v>
      </c>
      <c r="O341" s="96">
        <f>T339*L341*5</f>
        <v>130032.43178758927</v>
      </c>
      <c r="P341" s="96">
        <f t="shared" si="26"/>
        <v>593431.03091697278</v>
      </c>
      <c r="Q341" s="78">
        <f t="shared" ref="Q341:Q347" si="27">P341/J341</f>
        <v>6.2115760763776668</v>
      </c>
      <c r="R341" s="97">
        <f>(AVERAGE(Q340:Q341)/AVERAGE(N340:N341))</f>
        <v>0.25077775297646016</v>
      </c>
      <c r="S341" s="78" t="s">
        <v>13</v>
      </c>
      <c r="T341" s="104">
        <f>'nový výpočet'!U52</f>
        <v>0.17221233856397269</v>
      </c>
    </row>
    <row r="342" spans="1:20">
      <c r="A342" s="74" t="s">
        <v>72</v>
      </c>
      <c r="B342" s="74">
        <v>25114</v>
      </c>
      <c r="C342" s="74">
        <v>24797</v>
      </c>
      <c r="D342" s="89">
        <v>24812</v>
      </c>
      <c r="E342" s="89">
        <v>24831</v>
      </c>
      <c r="F342" s="79">
        <v>168</v>
      </c>
      <c r="G342" s="79">
        <v>145</v>
      </c>
      <c r="H342" s="79">
        <v>159</v>
      </c>
      <c r="I342" s="76">
        <v>3.0968783604049897E-2</v>
      </c>
      <c r="J342" s="77">
        <v>93601.776899268618</v>
      </c>
      <c r="K342" s="77">
        <v>2898.7331737479981</v>
      </c>
      <c r="L342" s="77">
        <v>92152.410312394612</v>
      </c>
      <c r="M342" s="77">
        <v>2275346.8629890285</v>
      </c>
      <c r="N342" s="78">
        <v>24.30879987927673</v>
      </c>
      <c r="O342" s="96">
        <f>T339*L342*5</f>
        <v>126709.56417954259</v>
      </c>
      <c r="P342" s="96">
        <f t="shared" si="26"/>
        <v>463398.59912938351</v>
      </c>
      <c r="Q342" s="78">
        <f t="shared" si="27"/>
        <v>4.9507457494966038</v>
      </c>
      <c r="R342" s="78"/>
      <c r="S342" s="78" t="s">
        <v>14</v>
      </c>
      <c r="T342" s="104">
        <f>'nový výpočet'!V52</f>
        <v>2.5000000000000001E-2</v>
      </c>
    </row>
    <row r="343" spans="1:20">
      <c r="A343" s="74" t="s">
        <v>73</v>
      </c>
      <c r="B343" s="74">
        <v>23804</v>
      </c>
      <c r="C343" s="74">
        <v>24084</v>
      </c>
      <c r="D343" s="89">
        <v>24471</v>
      </c>
      <c r="E343" s="89">
        <v>24338</v>
      </c>
      <c r="F343" s="79">
        <v>265</v>
      </c>
      <c r="G343" s="79">
        <v>260</v>
      </c>
      <c r="H343" s="79">
        <v>230</v>
      </c>
      <c r="I343" s="76">
        <v>5.0212743961540462E-2</v>
      </c>
      <c r="J343" s="77">
        <v>90703.04372552062</v>
      </c>
      <c r="K343" s="77">
        <v>4554.4487111219787</v>
      </c>
      <c r="L343" s="77">
        <v>88425.81936995963</v>
      </c>
      <c r="M343" s="77">
        <v>1814584.8114270554</v>
      </c>
      <c r="N343" s="78">
        <v>20.00577639839991</v>
      </c>
      <c r="O343" s="96">
        <f>T340*L343*5</f>
        <v>96216.061633043151</v>
      </c>
      <c r="P343" s="96">
        <f t="shared" si="26"/>
        <v>336689.03494984092</v>
      </c>
      <c r="Q343" s="78">
        <f t="shared" si="27"/>
        <v>3.7119926864715409</v>
      </c>
      <c r="R343" s="78"/>
      <c r="S343" s="78"/>
    </row>
    <row r="344" spans="1:20">
      <c r="A344" s="74" t="s">
        <v>74</v>
      </c>
      <c r="B344" s="74">
        <v>19509</v>
      </c>
      <c r="C344" s="74">
        <v>20176</v>
      </c>
      <c r="D344" s="89">
        <v>20561</v>
      </c>
      <c r="E344" s="89">
        <v>21128</v>
      </c>
      <c r="F344" s="79">
        <v>394</v>
      </c>
      <c r="G344" s="79">
        <v>373</v>
      </c>
      <c r="H344" s="79">
        <v>348</v>
      </c>
      <c r="I344" s="76">
        <v>8.6807507556457247E-2</v>
      </c>
      <c r="J344" s="77">
        <v>86148.595014398641</v>
      </c>
      <c r="K344" s="77">
        <v>7478.344812690586</v>
      </c>
      <c r="L344" s="77">
        <v>82409.422608053341</v>
      </c>
      <c r="M344" s="77">
        <v>1372455.7145772572</v>
      </c>
      <c r="N344" s="78">
        <v>15.931260566093604</v>
      </c>
      <c r="O344" s="96">
        <f>T340*L344*5</f>
        <v>89669.625244023118</v>
      </c>
      <c r="P344" s="96">
        <f t="shared" si="26"/>
        <v>240472.97331679775</v>
      </c>
      <c r="Q344" s="78">
        <f t="shared" si="27"/>
        <v>2.7913742908587862</v>
      </c>
      <c r="R344" s="78"/>
      <c r="S344" s="78"/>
    </row>
    <row r="345" spans="1:20">
      <c r="A345" s="74" t="s">
        <v>75</v>
      </c>
      <c r="B345" s="74">
        <v>12378</v>
      </c>
      <c r="C345" s="74">
        <v>13095</v>
      </c>
      <c r="D345" s="89">
        <v>14071</v>
      </c>
      <c r="E345" s="89">
        <v>15038</v>
      </c>
      <c r="F345" s="79">
        <v>460</v>
      </c>
      <c r="G345" s="79">
        <v>475</v>
      </c>
      <c r="H345" s="79">
        <v>448</v>
      </c>
      <c r="I345" s="76">
        <v>0.15022936335387382</v>
      </c>
      <c r="J345" s="77">
        <v>78670.250201708055</v>
      </c>
      <c r="K345" s="77">
        <v>11818.58160269256</v>
      </c>
      <c r="L345" s="77">
        <v>72760.959400361782</v>
      </c>
      <c r="M345" s="77">
        <v>960408.60153699061</v>
      </c>
      <c r="N345" s="78">
        <v>12.208027800528575</v>
      </c>
      <c r="O345" s="96">
        <f>T341*L345*5</f>
        <v>62651.674872472875</v>
      </c>
      <c r="P345" s="96">
        <f t="shared" si="26"/>
        <v>150803.34807277465</v>
      </c>
      <c r="Q345" s="78">
        <f t="shared" si="27"/>
        <v>1.9169043912548847</v>
      </c>
      <c r="R345" s="78"/>
      <c r="S345" s="78"/>
    </row>
    <row r="346" spans="1:20">
      <c r="A346" s="74" t="s">
        <v>76</v>
      </c>
      <c r="B346" s="74">
        <v>9346</v>
      </c>
      <c r="C346" s="74">
        <v>9409</v>
      </c>
      <c r="D346" s="89">
        <v>9491</v>
      </c>
      <c r="E346" s="89">
        <v>9716</v>
      </c>
      <c r="F346" s="79">
        <v>694</v>
      </c>
      <c r="G346" s="79">
        <v>573</v>
      </c>
      <c r="H346" s="79">
        <v>580</v>
      </c>
      <c r="I346" s="76">
        <v>0.27943779596653406</v>
      </c>
      <c r="J346" s="77">
        <v>66851.668599015495</v>
      </c>
      <c r="K346" s="77">
        <v>18680.882929994041</v>
      </c>
      <c r="L346" s="77">
        <v>57511.227134018474</v>
      </c>
      <c r="M346" s="77">
        <v>596603.80453518173</v>
      </c>
      <c r="N346" s="78">
        <v>8.9242918993343974</v>
      </c>
      <c r="O346" s="96">
        <f>T341*L346*5</f>
        <v>49520.714592165612</v>
      </c>
      <c r="P346" s="96">
        <f t="shared" si="26"/>
        <v>88151.673200301768</v>
      </c>
      <c r="Q346" s="78">
        <f t="shared" si="27"/>
        <v>1.3186159006598073</v>
      </c>
      <c r="R346" s="78"/>
      <c r="S346" s="78"/>
    </row>
    <row r="347" spans="1:20">
      <c r="A347" s="74" t="s">
        <v>14</v>
      </c>
      <c r="B347" s="74">
        <v>7510</v>
      </c>
      <c r="C347" s="74">
        <v>7613</v>
      </c>
      <c r="D347" s="89">
        <v>7983</v>
      </c>
      <c r="E347" s="89">
        <v>8312</v>
      </c>
      <c r="F347" s="74">
        <v>1339</v>
      </c>
      <c r="G347" s="74">
        <v>1122</v>
      </c>
      <c r="H347" s="74">
        <v>1203</v>
      </c>
      <c r="I347" s="76">
        <v>0.56081060397342897</v>
      </c>
      <c r="J347" s="77">
        <v>48170.785669021454</v>
      </c>
      <c r="K347" s="77">
        <v>48170.785669021454</v>
      </c>
      <c r="L347" s="77">
        <v>309047.6688650893</v>
      </c>
      <c r="M347" s="77">
        <v>309047.6688650893</v>
      </c>
      <c r="N347" s="78">
        <v>6.4156659388646284</v>
      </c>
      <c r="O347" s="96">
        <f>T342*L347*5</f>
        <v>38630.958608136163</v>
      </c>
      <c r="P347" s="96">
        <f t="shared" si="26"/>
        <v>38630.958608136163</v>
      </c>
      <c r="Q347" s="78">
        <f t="shared" si="27"/>
        <v>0.80195824235807855</v>
      </c>
      <c r="R347" s="78"/>
    </row>
    <row r="348" spans="1:20">
      <c r="N348" s="78"/>
      <c r="O348" s="78"/>
      <c r="P348" s="78"/>
      <c r="Q348" s="78"/>
      <c r="R348" s="78"/>
      <c r="S348" s="78"/>
    </row>
    <row r="349" spans="1:20">
      <c r="N349" s="78"/>
      <c r="O349" s="78"/>
      <c r="P349" s="78"/>
      <c r="Q349" s="78"/>
      <c r="R349" s="78"/>
      <c r="S349" s="86"/>
    </row>
    <row r="350" spans="1:20">
      <c r="B350" s="149" t="s">
        <v>42</v>
      </c>
      <c r="C350" s="150"/>
      <c r="D350" s="150"/>
      <c r="E350" s="151"/>
      <c r="F350" s="149" t="s">
        <v>43</v>
      </c>
      <c r="G350" s="150"/>
      <c r="H350" s="151"/>
      <c r="I350" s="152" t="s">
        <v>44</v>
      </c>
      <c r="J350" s="153"/>
      <c r="K350" s="153"/>
      <c r="L350" s="153"/>
      <c r="M350" s="153"/>
      <c r="N350" s="154"/>
      <c r="O350" s="86"/>
      <c r="P350" s="86"/>
      <c r="Q350" s="86"/>
      <c r="R350" s="86"/>
      <c r="S350" s="88"/>
    </row>
    <row r="351" spans="1:20">
      <c r="A351" s="74" t="s">
        <v>29</v>
      </c>
      <c r="B351" s="69">
        <v>2021</v>
      </c>
      <c r="C351" s="69">
        <v>2022</v>
      </c>
      <c r="D351" s="69">
        <v>2023</v>
      </c>
      <c r="E351" s="69">
        <v>2024</v>
      </c>
      <c r="F351" s="69">
        <v>2022</v>
      </c>
      <c r="G351" s="69">
        <v>2023</v>
      </c>
      <c r="H351" s="69">
        <v>2024</v>
      </c>
      <c r="I351" s="70" t="s">
        <v>46</v>
      </c>
      <c r="J351" s="71" t="s">
        <v>47</v>
      </c>
      <c r="K351" s="71" t="s">
        <v>48</v>
      </c>
      <c r="L351" s="71" t="s">
        <v>49</v>
      </c>
      <c r="M351" s="71" t="s">
        <v>50</v>
      </c>
      <c r="N351" s="72" t="s">
        <v>51</v>
      </c>
      <c r="O351" s="88"/>
      <c r="P351" s="88"/>
      <c r="Q351" s="88"/>
      <c r="R351" s="88"/>
      <c r="S351" s="78"/>
    </row>
    <row r="352" spans="1:20">
      <c r="A352" s="74" t="s">
        <v>54</v>
      </c>
      <c r="B352" s="74">
        <v>4305</v>
      </c>
      <c r="C352" s="74">
        <v>4084</v>
      </c>
      <c r="D352" s="89">
        <v>3876</v>
      </c>
      <c r="E352" s="89">
        <v>3800</v>
      </c>
      <c r="F352" s="74">
        <v>33</v>
      </c>
      <c r="G352" s="74">
        <v>36</v>
      </c>
      <c r="H352" s="74">
        <v>36</v>
      </c>
      <c r="I352" s="76">
        <v>8.9285714285714281E-3</v>
      </c>
      <c r="J352" s="77">
        <v>100000</v>
      </c>
      <c r="K352" s="77">
        <v>892.85714285714494</v>
      </c>
      <c r="L352" s="77">
        <v>99196.428571428565</v>
      </c>
      <c r="M352" s="77">
        <v>8045818.0631156322</v>
      </c>
      <c r="N352" s="78">
        <v>80.458180631156324</v>
      </c>
      <c r="O352" s="78"/>
      <c r="P352" s="78"/>
      <c r="Q352" s="78"/>
      <c r="R352" s="78"/>
      <c r="S352" s="78"/>
    </row>
    <row r="353" spans="1:20">
      <c r="A353" s="74" t="s">
        <v>55</v>
      </c>
      <c r="B353" s="74">
        <v>17803</v>
      </c>
      <c r="C353" s="74">
        <v>17686</v>
      </c>
      <c r="D353" s="89">
        <v>17266</v>
      </c>
      <c r="E353" s="89">
        <v>16799</v>
      </c>
      <c r="F353" s="74">
        <v>9</v>
      </c>
      <c r="G353" s="74">
        <v>5</v>
      </c>
      <c r="H353" s="74">
        <v>1</v>
      </c>
      <c r="I353" s="76">
        <v>1.1476005584989384E-3</v>
      </c>
      <c r="J353" s="77">
        <v>99107.142857142855</v>
      </c>
      <c r="K353" s="77">
        <v>113.73541249409027</v>
      </c>
      <c r="L353" s="77">
        <v>99050.275150895817</v>
      </c>
      <c r="M353" s="77">
        <v>7946621.634544204</v>
      </c>
      <c r="N353" s="78">
        <v>80.182128204409992</v>
      </c>
      <c r="O353" s="78"/>
      <c r="P353" s="78"/>
      <c r="Q353" s="78"/>
      <c r="R353" s="78"/>
      <c r="S353" s="78"/>
    </row>
    <row r="354" spans="1:20">
      <c r="A354" s="74" t="s">
        <v>56</v>
      </c>
      <c r="B354" s="74">
        <v>22350</v>
      </c>
      <c r="C354" s="74">
        <v>22352</v>
      </c>
      <c r="D354" s="89">
        <v>22529</v>
      </c>
      <c r="E354" s="89">
        <v>22546</v>
      </c>
      <c r="F354" s="79">
        <v>4</v>
      </c>
      <c r="G354" s="79">
        <v>3</v>
      </c>
      <c r="H354" s="79">
        <v>1</v>
      </c>
      <c r="I354" s="76">
        <v>2.3008820302404873E-4</v>
      </c>
      <c r="J354" s="77">
        <v>98993.407444648765</v>
      </c>
      <c r="K354" s="77">
        <v>22.777215230162255</v>
      </c>
      <c r="L354" s="77">
        <v>98982.018837033684</v>
      </c>
      <c r="M354" s="77">
        <v>7550420.5339406207</v>
      </c>
      <c r="N354" s="78">
        <v>76.271953141550028</v>
      </c>
      <c r="O354" s="78"/>
      <c r="P354" s="78"/>
      <c r="Q354" s="78"/>
      <c r="R354" s="78"/>
      <c r="S354" s="78"/>
    </row>
    <row r="355" spans="1:20">
      <c r="A355" s="74" t="s">
        <v>57</v>
      </c>
      <c r="B355" s="74">
        <v>22703</v>
      </c>
      <c r="C355" s="74">
        <v>22839</v>
      </c>
      <c r="D355" s="89">
        <v>22770</v>
      </c>
      <c r="E355" s="89">
        <v>22494</v>
      </c>
      <c r="F355" s="79">
        <v>4</v>
      </c>
      <c r="G355" s="79">
        <v>6</v>
      </c>
      <c r="H355" s="79">
        <v>2</v>
      </c>
      <c r="I355" s="76">
        <v>6.2158511095374881E-4</v>
      </c>
      <c r="J355" s="77">
        <v>98970.630229418603</v>
      </c>
      <c r="K355" s="77">
        <v>61.51867017231416</v>
      </c>
      <c r="L355" s="77">
        <v>98939.870894332445</v>
      </c>
      <c r="M355" s="77">
        <v>7055510.4397554528</v>
      </c>
      <c r="N355" s="78">
        <v>71.288931104110844</v>
      </c>
      <c r="O355" s="78"/>
      <c r="P355" s="78"/>
      <c r="Q355" s="78"/>
      <c r="R355" s="78"/>
      <c r="S355" s="78"/>
    </row>
    <row r="356" spans="1:20">
      <c r="A356" s="74" t="s">
        <v>58</v>
      </c>
      <c r="B356" s="74">
        <v>20943</v>
      </c>
      <c r="C356" s="74">
        <v>21254</v>
      </c>
      <c r="D356" s="89">
        <v>21544</v>
      </c>
      <c r="E356" s="89">
        <v>21949</v>
      </c>
      <c r="F356" s="79">
        <v>6</v>
      </c>
      <c r="G356" s="79">
        <v>1</v>
      </c>
      <c r="H356" s="79">
        <v>1</v>
      </c>
      <c r="I356" s="76">
        <v>1.0060479626125031E-3</v>
      </c>
      <c r="J356" s="77">
        <v>98909.111559246288</v>
      </c>
      <c r="K356" s="77">
        <v>99.50731016798818</v>
      </c>
      <c r="L356" s="77">
        <v>98859.357904162287</v>
      </c>
      <c r="M356" s="77">
        <v>6560811.0852837907</v>
      </c>
      <c r="N356" s="78">
        <v>66.331715873859437</v>
      </c>
      <c r="O356" s="78"/>
      <c r="P356" s="78"/>
      <c r="Q356" s="78"/>
      <c r="R356" s="78"/>
      <c r="S356" s="78"/>
    </row>
    <row r="357" spans="1:20">
      <c r="A357" s="74" t="s">
        <v>59</v>
      </c>
      <c r="B357" s="74">
        <v>21947</v>
      </c>
      <c r="C357" s="74">
        <v>21411</v>
      </c>
      <c r="D357" s="89">
        <v>21011</v>
      </c>
      <c r="E357" s="89">
        <v>20807</v>
      </c>
      <c r="F357" s="79">
        <v>10</v>
      </c>
      <c r="G357" s="79">
        <v>7</v>
      </c>
      <c r="H357" s="79">
        <v>8</v>
      </c>
      <c r="I357" s="76">
        <v>1.5740357542069574E-3</v>
      </c>
      <c r="J357" s="77">
        <v>98809.6042490783</v>
      </c>
      <c r="K357" s="77">
        <v>155.5298499470955</v>
      </c>
      <c r="L357" s="77">
        <v>98731.839324104745</v>
      </c>
      <c r="M357" s="77">
        <v>6066514.2957629794</v>
      </c>
      <c r="N357" s="78">
        <v>61.395998312781096</v>
      </c>
      <c r="O357" s="78"/>
      <c r="P357" s="78"/>
      <c r="Q357" s="78"/>
      <c r="R357" s="78"/>
      <c r="S357" s="78"/>
    </row>
    <row r="358" spans="1:20">
      <c r="A358" s="74" t="s">
        <v>60</v>
      </c>
      <c r="B358" s="74">
        <v>24031</v>
      </c>
      <c r="C358" s="74">
        <v>23309</v>
      </c>
      <c r="D358" s="89">
        <v>22692</v>
      </c>
      <c r="E358" s="89">
        <v>22219</v>
      </c>
      <c r="F358" s="79">
        <v>7</v>
      </c>
      <c r="G358" s="79">
        <v>13</v>
      </c>
      <c r="H358" s="79">
        <v>5</v>
      </c>
      <c r="I358" s="76">
        <v>1.9292723275607816E-3</v>
      </c>
      <c r="J358" s="77">
        <v>98654.074399131205</v>
      </c>
      <c r="K358" s="77">
        <v>190.33057573936821</v>
      </c>
      <c r="L358" s="77">
        <v>98558.909111261513</v>
      </c>
      <c r="M358" s="77">
        <v>5572855.0991424555</v>
      </c>
      <c r="N358" s="78">
        <v>56.488848870001995</v>
      </c>
      <c r="O358" s="78"/>
      <c r="P358" s="78"/>
      <c r="Q358" s="78"/>
      <c r="R358" s="78"/>
      <c r="S358" s="78"/>
    </row>
    <row r="359" spans="1:20">
      <c r="A359" s="74" t="s">
        <v>61</v>
      </c>
      <c r="B359" s="74">
        <v>27709</v>
      </c>
      <c r="C359" s="74">
        <v>27115</v>
      </c>
      <c r="D359" s="89">
        <v>26403</v>
      </c>
      <c r="E359" s="89">
        <v>25713</v>
      </c>
      <c r="F359" s="79">
        <v>11</v>
      </c>
      <c r="G359" s="79">
        <v>13</v>
      </c>
      <c r="H359" s="79">
        <v>13</v>
      </c>
      <c r="I359" s="76">
        <v>2.2326319436698676E-3</v>
      </c>
      <c r="J359" s="77">
        <v>98463.743823391836</v>
      </c>
      <c r="K359" s="77">
        <v>219.83329975343077</v>
      </c>
      <c r="L359" s="77">
        <v>98353.827173515121</v>
      </c>
      <c r="M359" s="77">
        <v>5080060.5535861477</v>
      </c>
      <c r="N359" s="78">
        <v>51.593209402010245</v>
      </c>
      <c r="O359" s="78"/>
      <c r="P359" s="78"/>
      <c r="Q359" s="78"/>
      <c r="R359" s="78"/>
      <c r="S359" s="78"/>
    </row>
    <row r="360" spans="1:20">
      <c r="A360" s="74" t="s">
        <v>62</v>
      </c>
      <c r="B360" s="74">
        <v>28693</v>
      </c>
      <c r="C360" s="74">
        <v>28584</v>
      </c>
      <c r="D360" s="89">
        <v>28411</v>
      </c>
      <c r="E360" s="89">
        <v>27982</v>
      </c>
      <c r="F360" s="79">
        <v>28</v>
      </c>
      <c r="G360" s="79">
        <v>24</v>
      </c>
      <c r="H360" s="79">
        <v>15</v>
      </c>
      <c r="I360" s="76">
        <v>4.3873961088916214E-3</v>
      </c>
      <c r="J360" s="77">
        <v>98243.910523638406</v>
      </c>
      <c r="K360" s="77">
        <v>431.03495075370301</v>
      </c>
      <c r="L360" s="77">
        <v>98028.393048261554</v>
      </c>
      <c r="M360" s="77">
        <v>4588291.4177185725</v>
      </c>
      <c r="N360" s="78">
        <v>46.703061729353564</v>
      </c>
      <c r="O360" s="78"/>
      <c r="P360" s="78"/>
      <c r="Q360" s="78"/>
      <c r="R360" s="78"/>
      <c r="S360" s="78"/>
      <c r="T360" s="68" t="s">
        <v>79</v>
      </c>
    </row>
    <row r="361" spans="1:20">
      <c r="A361" s="74" t="s">
        <v>64</v>
      </c>
      <c r="B361" s="74">
        <v>28952</v>
      </c>
      <c r="C361" s="74">
        <v>28583</v>
      </c>
      <c r="D361" s="89">
        <v>28207</v>
      </c>
      <c r="E361" s="89">
        <v>27950</v>
      </c>
      <c r="F361" s="79">
        <v>44</v>
      </c>
      <c r="G361" s="79">
        <v>39</v>
      </c>
      <c r="H361" s="79">
        <v>56</v>
      </c>
      <c r="I361" s="76">
        <v>7.3548563258663104E-3</v>
      </c>
      <c r="J361" s="77">
        <v>97812.875572884703</v>
      </c>
      <c r="K361" s="77">
        <v>719.39964665840671</v>
      </c>
      <c r="L361" s="77">
        <v>97453.175749555492</v>
      </c>
      <c r="M361" s="77">
        <v>4098149.4524772647</v>
      </c>
      <c r="N361" s="78">
        <v>41.897852695512995</v>
      </c>
      <c r="O361" s="78"/>
      <c r="P361" s="78"/>
      <c r="Q361" s="78"/>
      <c r="R361" s="78"/>
      <c r="S361" s="78" t="s">
        <v>67</v>
      </c>
      <c r="T361" s="104">
        <f>'nový výpočet'!R53</f>
        <v>0.64599759879888741</v>
      </c>
    </row>
    <row r="362" spans="1:20">
      <c r="A362" s="74" t="s">
        <v>66</v>
      </c>
      <c r="B362" s="74">
        <v>29325</v>
      </c>
      <c r="C362" s="74">
        <v>29685</v>
      </c>
      <c r="D362" s="89">
        <v>29765</v>
      </c>
      <c r="E362" s="89">
        <v>29503</v>
      </c>
      <c r="F362" s="79">
        <v>65</v>
      </c>
      <c r="G362" s="79">
        <v>61</v>
      </c>
      <c r="H362" s="79">
        <v>53</v>
      </c>
      <c r="I362" s="76">
        <v>1.0322011481644865E-2</v>
      </c>
      <c r="J362" s="77">
        <v>97093.475926226296</v>
      </c>
      <c r="K362" s="77">
        <v>1002.1999733033153</v>
      </c>
      <c r="L362" s="77">
        <v>96592.375939574646</v>
      </c>
      <c r="M362" s="77">
        <v>3610883.5737294871</v>
      </c>
      <c r="N362" s="78">
        <v>37.189765216286148</v>
      </c>
      <c r="O362" s="96">
        <f>T361*L362*5</f>
        <v>311992.21459622326</v>
      </c>
      <c r="P362" s="96">
        <f>SUM(O362:O370)</f>
        <v>1486059.9017521837</v>
      </c>
      <c r="Q362" s="78"/>
      <c r="R362" s="78"/>
      <c r="S362" s="78" t="s">
        <v>70</v>
      </c>
      <c r="T362" s="104">
        <f>'nový výpočet'!S53</f>
        <v>0.48199999999999998</v>
      </c>
    </row>
    <row r="363" spans="1:20">
      <c r="A363" s="74" t="s">
        <v>68</v>
      </c>
      <c r="B363" s="74">
        <v>23900</v>
      </c>
      <c r="C363" s="74">
        <v>24662</v>
      </c>
      <c r="D363" s="89">
        <v>25822</v>
      </c>
      <c r="E363" s="89">
        <v>27067</v>
      </c>
      <c r="F363" s="79">
        <v>79</v>
      </c>
      <c r="G363" s="79">
        <v>83</v>
      </c>
      <c r="H363" s="79">
        <v>70</v>
      </c>
      <c r="I363" s="76">
        <v>1.5379451134234284E-2</v>
      </c>
      <c r="J363" s="77">
        <v>96091.275952922981</v>
      </c>
      <c r="K363" s="77">
        <v>1477.8310829442053</v>
      </c>
      <c r="L363" s="77">
        <v>95352.360411450878</v>
      </c>
      <c r="M363" s="77">
        <v>3127921.6940316139</v>
      </c>
      <c r="N363" s="78">
        <v>32.551567902626715</v>
      </c>
      <c r="O363" s="96">
        <f>T361*L363*5</f>
        <v>307986.97932801681</v>
      </c>
      <c r="P363" s="96">
        <f t="shared" ref="P363:P370" si="28">SUM(O363:O371)</f>
        <v>1174067.6871559601</v>
      </c>
      <c r="Q363" s="78">
        <f>P363/J363</f>
        <v>12.21825473241878</v>
      </c>
      <c r="R363" s="78" t="str">
        <f>R340</f>
        <v>AAI 4.2</v>
      </c>
      <c r="S363" s="78" t="s">
        <v>12</v>
      </c>
      <c r="T363" s="104">
        <f>'nový výpočet'!T53</f>
        <v>0.31435568661937247</v>
      </c>
    </row>
    <row r="364" spans="1:20">
      <c r="A364" s="74" t="s">
        <v>71</v>
      </c>
      <c r="B364" s="74">
        <v>25001</v>
      </c>
      <c r="C364" s="74">
        <v>24455</v>
      </c>
      <c r="D364" s="89">
        <v>23864</v>
      </c>
      <c r="E364" s="89">
        <v>23216</v>
      </c>
      <c r="F364" s="79">
        <v>136</v>
      </c>
      <c r="G364" s="79">
        <v>114</v>
      </c>
      <c r="H364" s="79">
        <v>117</v>
      </c>
      <c r="I364" s="76">
        <v>2.4487703099217953E-2</v>
      </c>
      <c r="J364" s="77">
        <v>94613.444869978775</v>
      </c>
      <c r="K364" s="77">
        <v>2316.8659471702704</v>
      </c>
      <c r="L364" s="77">
        <v>93455.01189639364</v>
      </c>
      <c r="M364" s="77">
        <v>2651159.8919743593</v>
      </c>
      <c r="N364" s="78">
        <v>28.020963570427853</v>
      </c>
      <c r="O364" s="96">
        <f>T362*L364*5</f>
        <v>225226.57867030866</v>
      </c>
      <c r="P364" s="96">
        <f t="shared" si="28"/>
        <v>866080.70782794338</v>
      </c>
      <c r="Q364" s="78">
        <f t="shared" ref="Q364:Q370" si="29">P364/J364</f>
        <v>9.1538862052654668</v>
      </c>
      <c r="R364" s="97">
        <f>(AVERAGE(Q363:Q364)/AVERAGE(N363:N364))</f>
        <v>0.35283552491431786</v>
      </c>
      <c r="S364" s="78" t="s">
        <v>13</v>
      </c>
      <c r="T364" s="104">
        <f>'nový výpočet'!U53</f>
        <v>0.20501970479240067</v>
      </c>
    </row>
    <row r="365" spans="1:20">
      <c r="A365" s="74" t="s">
        <v>72</v>
      </c>
      <c r="B365" s="74">
        <v>25259</v>
      </c>
      <c r="C365" s="74">
        <v>24813</v>
      </c>
      <c r="D365" s="89">
        <v>24478</v>
      </c>
      <c r="E365" s="89">
        <v>24751</v>
      </c>
      <c r="F365" s="79">
        <v>204</v>
      </c>
      <c r="G365" s="79">
        <v>185</v>
      </c>
      <c r="H365" s="79">
        <v>189</v>
      </c>
      <c r="I365" s="76">
        <v>3.8310870896726967E-2</v>
      </c>
      <c r="J365" s="77">
        <v>92296.578922808505</v>
      </c>
      <c r="K365" s="77">
        <v>3535.9623193212901</v>
      </c>
      <c r="L365" s="77">
        <v>90528.59776314786</v>
      </c>
      <c r="M365" s="77">
        <v>2183884.8324923911</v>
      </c>
      <c r="N365" s="78">
        <v>23.661601090533004</v>
      </c>
      <c r="O365" s="96">
        <f>T362*L365*5</f>
        <v>218173.92060918635</v>
      </c>
      <c r="P365" s="96">
        <f t="shared" si="28"/>
        <v>640854.1291576348</v>
      </c>
      <c r="Q365" s="78">
        <f t="shared" si="29"/>
        <v>6.9434223525620373</v>
      </c>
      <c r="R365" s="78"/>
      <c r="S365" s="78" t="s">
        <v>14</v>
      </c>
      <c r="T365" s="104">
        <f>'nový výpočet'!V53</f>
        <v>2.5000000000000001E-2</v>
      </c>
    </row>
    <row r="366" spans="1:20">
      <c r="A366" s="74" t="s">
        <v>73</v>
      </c>
      <c r="B366" s="74">
        <v>25073</v>
      </c>
      <c r="C366" s="74">
        <v>25039</v>
      </c>
      <c r="D366" s="89">
        <v>25066</v>
      </c>
      <c r="E366" s="89">
        <v>24659</v>
      </c>
      <c r="F366" s="79">
        <v>336</v>
      </c>
      <c r="G366" s="79">
        <v>294</v>
      </c>
      <c r="H366" s="79">
        <v>305</v>
      </c>
      <c r="I366" s="76">
        <v>5.9300052266532892E-2</v>
      </c>
      <c r="J366" s="77">
        <v>88760.616603487215</v>
      </c>
      <c r="K366" s="77">
        <v>5263.5092037964787</v>
      </c>
      <c r="L366" s="77">
        <v>86128.862001588976</v>
      </c>
      <c r="M366" s="77">
        <v>1731241.8436766518</v>
      </c>
      <c r="N366" s="78">
        <v>19.504617136792568</v>
      </c>
      <c r="O366" s="96">
        <f>T363*L366*5</f>
        <v>135375.4877612734</v>
      </c>
      <c r="P366" s="96">
        <f t="shared" si="28"/>
        <v>422680.2085484484</v>
      </c>
      <c r="Q366" s="78">
        <f t="shared" si="29"/>
        <v>4.7620242481713699</v>
      </c>
      <c r="R366" s="78"/>
      <c r="S366" s="78"/>
    </row>
    <row r="367" spans="1:20">
      <c r="A367" s="74" t="s">
        <v>74</v>
      </c>
      <c r="B367" s="74">
        <v>20648</v>
      </c>
      <c r="C367" s="74">
        <v>21346</v>
      </c>
      <c r="D367" s="89">
        <v>21941</v>
      </c>
      <c r="E367" s="89">
        <v>22480</v>
      </c>
      <c r="F367" s="79">
        <v>449</v>
      </c>
      <c r="G367" s="79">
        <v>430</v>
      </c>
      <c r="H367" s="79">
        <v>429</v>
      </c>
      <c r="I367" s="76">
        <v>9.5935119530282512E-2</v>
      </c>
      <c r="J367" s="77">
        <v>83497.107399690736</v>
      </c>
      <c r="K367" s="77">
        <v>8010.3049788221688</v>
      </c>
      <c r="L367" s="77">
        <v>79491.954910279659</v>
      </c>
      <c r="M367" s="77">
        <v>1300597.5336687069</v>
      </c>
      <c r="N367" s="78">
        <v>15.576557969162943</v>
      </c>
      <c r="O367" s="96">
        <f>T363*L367*5</f>
        <v>124943.74033268579</v>
      </c>
      <c r="P367" s="96">
        <f t="shared" si="28"/>
        <v>287304.720787175</v>
      </c>
      <c r="Q367" s="78">
        <f t="shared" si="29"/>
        <v>3.4408942984321773</v>
      </c>
      <c r="R367" s="78"/>
      <c r="S367" s="78"/>
    </row>
    <row r="368" spans="1:20">
      <c r="A368" s="74" t="s">
        <v>75</v>
      </c>
      <c r="B368" s="74">
        <v>13232</v>
      </c>
      <c r="C368" s="74">
        <v>14066</v>
      </c>
      <c r="D368" s="89">
        <v>14965</v>
      </c>
      <c r="E368" s="89">
        <v>15718</v>
      </c>
      <c r="F368" s="79">
        <v>562</v>
      </c>
      <c r="G368" s="79">
        <v>484</v>
      </c>
      <c r="H368" s="79">
        <v>521</v>
      </c>
      <c r="I368" s="76">
        <v>0.16006918614390514</v>
      </c>
      <c r="J368" s="77">
        <v>75486.802420868567</v>
      </c>
      <c r="K368" s="77">
        <v>12083.111028114203</v>
      </c>
      <c r="L368" s="77">
        <v>69445.246906811459</v>
      </c>
      <c r="M368" s="77">
        <v>903137.75911730854</v>
      </c>
      <c r="N368" s="78">
        <v>11.96418089193871</v>
      </c>
      <c r="O368" s="96">
        <f>T364*L368*5</f>
        <v>71188.22010034931</v>
      </c>
      <c r="P368" s="96">
        <f t="shared" si="28"/>
        <v>162360.98045448924</v>
      </c>
      <c r="Q368" s="78">
        <f t="shared" si="29"/>
        <v>2.1508525364376014</v>
      </c>
      <c r="R368" s="78"/>
      <c r="S368" s="78"/>
    </row>
    <row r="369" spans="1:19">
      <c r="A369" s="74" t="s">
        <v>76</v>
      </c>
      <c r="B369" s="74">
        <v>9650</v>
      </c>
      <c r="C369" s="74">
        <v>9744</v>
      </c>
      <c r="D369" s="89">
        <v>9863</v>
      </c>
      <c r="E369" s="89">
        <v>10203</v>
      </c>
      <c r="F369" s="79">
        <v>751</v>
      </c>
      <c r="G369" s="79">
        <v>647</v>
      </c>
      <c r="H369" s="79">
        <v>609</v>
      </c>
      <c r="I369" s="76">
        <v>0.29044021880698101</v>
      </c>
      <c r="J369" s="77">
        <v>63403.691392754365</v>
      </c>
      <c r="K369" s="77">
        <v>18414.982001281875</v>
      </c>
      <c r="L369" s="77">
        <v>54196.200392113431</v>
      </c>
      <c r="M369" s="77">
        <v>555911.52458325122</v>
      </c>
      <c r="N369" s="78">
        <v>8.7678100812720121</v>
      </c>
      <c r="O369" s="96">
        <f>T364*L369*5</f>
        <v>55556.445026304427</v>
      </c>
      <c r="P369" s="96">
        <f t="shared" si="28"/>
        <v>91172.760354139929</v>
      </c>
      <c r="Q369" s="78">
        <f t="shared" si="29"/>
        <v>1.4379724326990677</v>
      </c>
      <c r="R369" s="78"/>
      <c r="S369" s="78"/>
    </row>
    <row r="370" spans="1:19">
      <c r="A370" s="74" t="s">
        <v>14</v>
      </c>
      <c r="B370" s="74">
        <v>7496</v>
      </c>
      <c r="C370" s="74">
        <v>7595</v>
      </c>
      <c r="D370" s="89">
        <v>7924</v>
      </c>
      <c r="E370" s="89">
        <v>8257</v>
      </c>
      <c r="F370" s="74">
        <v>1311</v>
      </c>
      <c r="G370" s="74">
        <v>1185</v>
      </c>
      <c r="H370" s="74">
        <v>1198</v>
      </c>
      <c r="I370" s="76">
        <v>0.56603484470051024</v>
      </c>
      <c r="J370" s="77">
        <v>44988.70939147249</v>
      </c>
      <c r="K370" s="77">
        <v>44988.70939147249</v>
      </c>
      <c r="L370" s="77">
        <v>284930.52262268402</v>
      </c>
      <c r="M370" s="77">
        <v>284930.52262268402</v>
      </c>
      <c r="N370" s="78">
        <v>6.3333784515430436</v>
      </c>
      <c r="O370" s="96">
        <f>T365*L370*5</f>
        <v>35616.315327835502</v>
      </c>
      <c r="P370" s="96">
        <f t="shared" si="28"/>
        <v>35616.315327835502</v>
      </c>
      <c r="Q370" s="78">
        <f t="shared" si="29"/>
        <v>0.79167230644288045</v>
      </c>
      <c r="R370" s="78"/>
    </row>
    <row r="371" spans="1:19">
      <c r="N371" s="78"/>
      <c r="O371" s="78"/>
      <c r="P371" s="78"/>
      <c r="Q371" s="78"/>
      <c r="R371" s="78"/>
      <c r="S371" s="78"/>
    </row>
    <row r="372" spans="1:19">
      <c r="N372" s="78"/>
      <c r="O372" s="78"/>
      <c r="P372" s="78"/>
      <c r="Q372" s="78"/>
      <c r="R372" s="78"/>
      <c r="S372" s="78"/>
    </row>
    <row r="373" spans="1:19">
      <c r="N373" s="78"/>
      <c r="O373" s="78"/>
      <c r="P373" s="78"/>
      <c r="Q373" s="78"/>
      <c r="R373" s="78"/>
    </row>
  </sheetData>
  <mergeCells count="49">
    <mergeCell ref="B327:E327"/>
    <mergeCell ref="F327:H327"/>
    <mergeCell ref="I327:N327"/>
    <mergeCell ref="B350:E350"/>
    <mergeCell ref="F350:H350"/>
    <mergeCell ref="I350:N350"/>
    <mergeCell ref="B281:E281"/>
    <mergeCell ref="F281:H281"/>
    <mergeCell ref="I281:N281"/>
    <mergeCell ref="B304:E304"/>
    <mergeCell ref="F304:H304"/>
    <mergeCell ref="I304:N304"/>
    <mergeCell ref="B235:E235"/>
    <mergeCell ref="F235:H235"/>
    <mergeCell ref="I235:N235"/>
    <mergeCell ref="B258:E258"/>
    <mergeCell ref="F258:H258"/>
    <mergeCell ref="I258:N258"/>
    <mergeCell ref="B189:E189"/>
    <mergeCell ref="F189:H189"/>
    <mergeCell ref="I189:N189"/>
    <mergeCell ref="B212:E212"/>
    <mergeCell ref="F212:H212"/>
    <mergeCell ref="I212:N212"/>
    <mergeCell ref="B141:E141"/>
    <mergeCell ref="F141:H141"/>
    <mergeCell ref="I141:N141"/>
    <mergeCell ref="B164:E164"/>
    <mergeCell ref="F164:H164"/>
    <mergeCell ref="I164:N164"/>
    <mergeCell ref="B95:E95"/>
    <mergeCell ref="F95:H95"/>
    <mergeCell ref="I95:N95"/>
    <mergeCell ref="B118:E118"/>
    <mergeCell ref="F118:H118"/>
    <mergeCell ref="I118:N118"/>
    <mergeCell ref="B49:E49"/>
    <mergeCell ref="F49:H49"/>
    <mergeCell ref="I49:N49"/>
    <mergeCell ref="B72:E72"/>
    <mergeCell ref="F72:H72"/>
    <mergeCell ref="I72:N72"/>
    <mergeCell ref="B1:E1"/>
    <mergeCell ref="F1:H1"/>
    <mergeCell ref="I1:N1"/>
    <mergeCell ref="O1:Q1"/>
    <mergeCell ref="B26:D26"/>
    <mergeCell ref="F26:H26"/>
    <mergeCell ref="I26:N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nový výpočet</vt:lpstr>
      <vt:lpstr>4.2 HLY kraje_2024_m_ž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Spirkova Jana</cp:lastModifiedBy>
  <dcterms:created xsi:type="dcterms:W3CDTF">2026-10-08T12:41:13Z</dcterms:created>
  <dcterms:modified xsi:type="dcterms:W3CDTF">2026-10-08T12:41:14Z</dcterms:modified>
</cp:coreProperties>
</file>